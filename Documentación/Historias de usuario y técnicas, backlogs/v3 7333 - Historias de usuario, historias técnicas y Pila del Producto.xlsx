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A32FB3F4-EB67-4547-972D-2219E026E47E}" xr6:coauthVersionLast="47" xr6:coauthVersionMax="47" xr10:uidLastSave="{00000000-0000-0000-0000-000000000000}"/>
  <bookViews>
    <workbookView xWindow="-108" yWindow="-108" windowWidth="23256" windowHeight="12456" firstSheet="2"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3" l="1"/>
  <c r="F18" i="2"/>
  <c r="F16" i="1"/>
</calcChain>
</file>

<file path=xl/sharedStrings.xml><?xml version="1.0" encoding="utf-8"?>
<sst xmlns="http://schemas.openxmlformats.org/spreadsheetml/2006/main" count="727" uniqueCount="375">
  <si>
    <t>FIE Explorer 3D — Historias de Usuario</t>
  </si>
  <si>
    <t>ID</t>
  </si>
  <si>
    <t>Historia de Usuario</t>
  </si>
  <si>
    <t>Criterios de Aceptación</t>
  </si>
  <si>
    <t>Requisito Asociado</t>
  </si>
  <si>
    <t>Prioridad</t>
  </si>
  <si>
    <t>Sprint</t>
  </si>
  <si>
    <t>HU-01</t>
  </si>
  <si>
    <t>Como usuario (estudiante/aspirante/visitante) quiero explorar el modelo 3D exterior de todos los edificios de la FIE para orientarme en el campus desde el navegador web.</t>
  </si>
  <si>
    <t>• El modelo GLB exterior carga en ≤10 s con ≥10 Mbps.
• Se aplican 3 niveles LOD según distancia de cámara.
• El usuario puede rotar, hacer zoom y paneo sin restricciones.</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</si>
  <si>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</si>
  <si>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</si>
  <si>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</si>
  <si>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</si>
  <si>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</si>
  <si>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</si>
  <si>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</si>
  <si>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</si>
  <si>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</si>
  <si>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</si>
  <si>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</si>
  <si>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</si>
  <si>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</si>
  <si>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Como usuario quiero consultar un mini-mapa 2D sincronizado con el visor 3D para saber mi posición y orientación dentro del campus o edificio.</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</si>
  <si>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</si>
  <si>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</si>
  <si>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</si>
  <si>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</si>
  <si>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</si>
  <si>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</si>
  <si>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</si>
  <si>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</si>
  <si>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</si>
  <si>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</si>
  <si>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</si>
  <si>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</si>
  <si>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Como usuario quiero ver una barra de progreso de carga y mensajes de error amigables para saber el estado de carga de los modelos 3D.</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</si>
  <si>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</si>
  <si>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</si>
  <si>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</si>
  <si>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</si>
  <si>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</si>
  <si>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</si>
  <si>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</si>
  <si>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</si>
  <si>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</si>
  <si>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HU-13</t>
  </si>
  <si>
    <t>Como usuario con necesidades de accesibilidad quiero que la aplicación cumpla estándares básicos WCAG 2.1 AA para poder utilizarla con teclado y lectores de pantalla.</t>
  </si>
  <si>
    <t>Sprint 6</t>
  </si>
  <si>
    <t>TOTAL HISTORIAS DE USUARIO</t>
  </si>
  <si>
    <t>FIE Explorer 3D — Historias Técnicas</t>
  </si>
  <si>
    <t>Historia Técnica</t>
  </si>
  <si>
    <t>Descripción / Criterios Técnicos</t>
  </si>
  <si>
    <t>HT-01</t>
  </si>
  <si>
    <t>RNF-03, RNF-06</t>
  </si>
  <si>
    <t>Sprint 0</t>
  </si>
  <si>
    <t>HT-02</t>
  </si>
  <si>
    <t>RNF-05</t>
  </si>
  <si>
    <t>Sprint 2</t>
  </si>
  <si>
    <t>HT-03</t>
  </si>
  <si>
    <t>RF-09</t>
  </si>
  <si>
    <t>HT-04</t>
  </si>
  <si>
    <t>RF-10, RNF-01</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</si>
  <si>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</si>
  <si>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</si>
  <si>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</si>
  <si>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</si>
  <si>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</si>
  <si>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</si>
  <si>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</si>
  <si>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</si>
  <si>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</si>
  <si>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</si>
  <si>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</si>
  <si>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</si>
  <si>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</si>
  <si>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</si>
  <si>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</si>
  <si>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</si>
  <si>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</si>
  <si>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</si>
  <si>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</si>
  <si>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</si>
  <si>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</si>
  <si>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</si>
  <si>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</si>
  <si>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</si>
  <si>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</si>
  <si>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</si>
  <si>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</si>
  <si>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</si>
  <si>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</si>
  <si>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</si>
  <si>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</si>
  <si>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</si>
  <si>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</si>
  <si>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</si>
  <si>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</si>
  <si>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</si>
  <si>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</si>
  <si>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</si>
  <si>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</si>
  <si>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</si>
  <si>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</si>
  <si>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</si>
  <si>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</si>
  <si>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</si>
  <si>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</si>
  <si>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</si>
  <si>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</si>
  <si>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</si>
  <si>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</si>
  <si>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</si>
  <si>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</si>
  <si>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</si>
  <si>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</si>
  <si>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</si>
  <si>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</si>
  <si>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</si>
  <si>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</si>
  <si>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</si>
  <si>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</si>
  <si>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</si>
  <si>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</si>
  <si>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</si>
  <si>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</si>
  <si>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</si>
  <si>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</si>
  <si>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</si>
  <si>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</si>
  <si>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</si>
  <si>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</si>
  <si>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</si>
  <si>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</si>
  <si>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</si>
  <si>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</si>
  <si>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</si>
  <si>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</si>
  <si>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</si>
  <si>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</si>
  <si>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</si>
  <si>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</si>
  <si>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</si>
  <si>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</si>
  <si>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</si>
  <si>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</si>
  <si>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</si>
  <si>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</si>
  <si>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</si>
  <si>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</si>
  <si>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</si>
  <si>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</si>
  <si>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</si>
  <si>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</si>
  <si>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</si>
  <si>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</si>
  <si>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</si>
  <si>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</si>
  <si>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</si>
  <si>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</si>
  <si>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</si>
  <si>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</si>
  <si>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</si>
  <si>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</si>
  <si>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</si>
  <si>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</si>
  <si>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</si>
  <si>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</si>
  <si>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</si>
  <si>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</si>
  <si>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</si>
  <si>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</si>
  <si>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</si>
  <si>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</si>
  <si>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</si>
  <si>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</si>
  <si>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</si>
  <si>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</si>
  <si>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</si>
  <si>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</si>
  <si>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</si>
  <si>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</si>
  <si>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</si>
  <si>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</si>
  <si>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</si>
  <si>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</si>
  <si>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</si>
  <si>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</si>
  <si>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</si>
  <si>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</si>
  <si>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</si>
  <si>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</si>
  <si>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</si>
  <si>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</si>
  <si>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</si>
  <si>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</si>
  <si>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</si>
  <si>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</si>
  <si>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</si>
  <si>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</si>
  <si>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</si>
  <si>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</si>
  <si>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</si>
  <si>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</si>
  <si>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</si>
  <si>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</si>
  <si>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</si>
  <si>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</si>
  <si>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</si>
  <si>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</si>
  <si>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</si>
  <si>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</si>
  <si>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</si>
  <si>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</si>
  <si>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</si>
  <si>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</si>
  <si>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</si>
  <si>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</si>
  <si>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Transición animada desde vista exterior en ≤3 s.
• Se renderizan pasillos, laboratorios, secretaría y decanato.
• El usuario puede regresar a la vista exterior con 'Vista Exterior'.
• El mini-mapa cambia al plano interior.</t>
  </si>
  <si>
    <t>• Los hotspots se muestran como íconos flotantes animados.
• Al hacer clic, el panel muestra: nombre, descripción, tipo, equipamiento, horario e imagen.
• El panel se cierra con botón X o clic fuera.
• La cámara pausa su rotación mientras el panel está visible.</t>
  </si>
  <si>
    <t>• El mini-mapa se actualiza en tiempo real con cada movimiento de cámara.
• Al hacer clic en el mapa, la cámara navega a ese punto con animación suave.
• Es expandible/colapsable.
• Cambia de plano exterior a interior según la vista activa.</t>
  </si>
  <si>
    <t>• Animación TWEEN de ~1.2 s ease-in-out al presionar el botón.
• El botón se desactiva durante la animación y se reactiva al finalizar.
• El mini-mapa refleja la posición inicial al terminar la animación.
• Si se presiona múltiples veces, solo ejecuta una animación a la vez.</t>
  </si>
  <si>
    <t>• CRUD completo de hotspots con formulario de validación inline.
• Los cambios se reflejan en el visor público sin recargar la página.
• Se puede activar/desactivar un hotspot sin eliminarlo.
• Se registra cada acción en el log de auditoría con timestamp, IP y usuario.</t>
  </si>
  <si>
    <t>• Login con email + contraseña (bcrypt factor ≥12).
• Bloqueo tras 5 intentos fallidos en 15 min durante 30 min.
• Token JWT en cookie HttpOnly con expiración de 8 horas.
• Error genérico sin revelar cuál campo falló.</t>
  </si>
  <si>
    <t>• Barra de progreso con porcentaje visible durante la descarga del modelo.
• Si la carga supera 30 s, aparece opción de modo de baja resolución.
• Hasta 2 recargas automáticas ante error; luego mensaje amigable al usuario.
• Sin fugas de memoria al cambiar entre escena exterior e interior.</t>
  </si>
  <si>
    <t>• Diseño Mobile-First desde 320 px hasta 4K.
• Gestos táctiles activados automáticamente en touch devices.
• Panel admin accesible y usable en móviles.
• El mini-mapa se colapsa por defecto en pantallas &lt;5 pulgadas.</t>
  </si>
  <si>
    <t>• Formulario de carga que solo acepta .glb/.gltf con máx 50 MB.
• Barra de progreso de subida con porcentaje visible.
• El modelo queda disponible en el selector del visor tras publicar.
• El sistema almacena ruta y metadatos (nombre, fecha, tamaño) en la BD.</t>
  </si>
  <si>
    <t>• Tabla paginada con timestamp, usuario, IP y acción.
• Filtros funcionales por rango de fecha y tipo de acción.
• Exportación a CSV de los registros filtrados.
• Cada acción del admin genera automáticamente un registro.</t>
  </si>
  <si>
    <t>• Todos los controles del visor son alcanzables con Tab y activables con Enter/Espacio.
• Contraste de colores ≥4.5:1 en texto informativo (verificable con herramienta).
• Etiquetas ARIA presentes en botones y paneles interactivos.
• Texto alternativo en imágenes de hotspots.</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</si>
  <si>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</si>
  <si>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</si>
  <si>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</si>
  <si>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</si>
  <si>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</si>
  <si>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</si>
  <si>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</si>
  <si>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API REST con Node.js/Express: endpoints CRUD hotspots y documentación Swagger</t>
  </si>
  <si>
    <t>Implementar autenticación JWT con bcrypt y middleware de protección de rutas admin</t>
  </si>
  <si>
    <t>Implementar todas las medidas de seguridad: HTTPS, cabeceras HTTP, sanitización y Gaussian Blur en texturas</t>
  </si>
  <si>
    <t>Implementar módulo de carga de archivos GLB y validación de archivos multimedia</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</si>
  <si>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</si>
  <si>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</si>
  <si>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</si>
  <si>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</si>
  <si>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</si>
  <si>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</si>
  <si>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</si>
  <si>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</si>
  <si>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</si>
  <si>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</si>
  <si>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</si>
  <si>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</si>
  <si>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</si>
  <si>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</si>
  <si>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</si>
  <si>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</si>
  <si>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</si>
  <si>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</si>
  <si>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</si>
  <si>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</si>
  <si>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</si>
  <si>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</si>
  <si>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</si>
  <si>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</si>
  <si>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</si>
  <si>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</si>
  <si>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</si>
  <si>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</si>
  <si>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</si>
  <si>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</si>
  <si>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</si>
  <si>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</si>
  <si>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</si>
  <si>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</si>
  <si>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t>
  </si>
  <si>
    <t>Realizar la captura fotográfica de todos los edificios exteriores y espacios interiores del edificio principal con solapamiento ≥60% frontal y ≥45% lateral. 
Procesar las imágenes en Meshroom (SfM/MVS) por sectores. 
Exportar nube de puntos y mallas raw.</t>
  </si>
  <si>
    <t>Importar mallas raw de Meshroom a Blender. 
Aplicar retopología para reducir polígonos. 
Aplicar baking de texturas (iluminación precocinada). 
Crear 3 niveles LOD por modelo. 
Exportar a GLB con compresión Draco y texturas KTX2/Basis Universal.</t>
  </si>
  <si>
    <t>Implementar función detectWebGL() ejecutada antes de cargar Three.js. 
Crear pantalla de error con lista de navegadores compatibles. 
Implementar GLTFLoader con gestión de progreso (onProgress). 
Implementar modo de baja resolución como fallback.</t>
  </si>
  <si>
    <t>Crear endpoints: GET/POST/PUT/DELETE /api/hotspots, GET /api/models. 
Implementar validación de datos con Joi/express-validator. 
Documentar con Swagger/OpenAPI 3.0. 
Implementar middleware de errores global. 
Tiempo de respuesta ≤500 ms.</t>
  </si>
  <si>
    <t>Implementar POST /api/auth/login con verificación bcrypt. 
Generar JWT con payload {userId, role, exp:8h}. 
Almacenar en cookie HttpOnly. 
Implementar middleware authMiddleware en todas las rutas /admin/*. 
Implementar bloqueo por intentos fallidos (5 intentos / 15 min).</t>
  </si>
  <si>
    <t>Configurar Nginx con HTTPS (TLS 1.2+). 
Añadir cabeceras: Content-Security-Policy, X-Frame-Options, HSTS, X-Content-Type-Options. 
Implementar sanitización de entradas con DOMPurify/xss en backend. 
Aplicar Gaussian Blur a rostros y placas en texturas exteriores (Blender/Python script).</t>
  </si>
  <si>
    <t>Implementar POST /api/models/upload con Multer. 
Validar extensión (.glb/.gltf) y tamaño (≤50 MB) en backend. 
Implementar validación de imágenes (JPG/PNG/WEBP, ≤2 MB) para hotspots. 
Almacenar metadatos en BD. 
Devolver progreso de subida con SSE o WebSocket.</t>
  </si>
  <si>
    <t>Ejecutar suite de pruebas Jest/Vitest con cobertura ≥60% en módulos backend. 
Medir FPS en hardware mínimo (DevTools Performance). 
Verificar tiempos de carga en Chrome, Firefox, Edge y Safari. 
Prueba en Android e iOS. Generar reporte de pruebas.</t>
  </si>
  <si>
    <t>Aplicar cuestionarios de evaluación de interacción a la muestra de 97 estudiantes (escala Likert 5 niveles). 
Validar las 8 subcaracterísticas de Capacidad de Interacción. 
Ejecutar Lighthouse/WAVE para verificar accesibilidad. 
Elaborar reporte de resultados.</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</si>
  <si>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</si>
  <si>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</si>
  <si>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Historia / Descripción breve</t>
  </si>
  <si>
    <t>Fecha Fin</t>
  </si>
  <si>
    <t>Horas</t>
  </si>
  <si>
    <t>Preparación: Configurar entorno Docker, repositorio GitHub con ramas, docker-compose y estructura de carpetas frontend/backend.</t>
  </si>
  <si>
    <t>13/04/2026</t>
  </si>
  <si>
    <t>Análisis: Levantamiento de espacios FIE, inventario de hotspots, entrevistas a stakeholders y definición de requisitos validada.</t>
  </si>
  <si>
    <t>20/04/2026</t>
  </si>
  <si>
    <t>Diseño: Arquitectura del sistema, esquema BD PostGIS, wireframes del visor y diseño de interfaces (mockups).</t>
  </si>
  <si>
    <t>27/04/2026</t>
  </si>
  <si>
    <t>Procesamiento 3D (Captura): Captura fotográfica con solapamiento correcto, procesamiento SfM/MVS en Meshroom, modelos raw exportados.</t>
  </si>
  <si>
    <t>04/05/2026</t>
  </si>
  <si>
    <t>Procesamiento 3D (Optimización): Retopología en Blender, baking de texturas, LOD implementado, exportación GLB con Draco ≤50 MB.</t>
  </si>
  <si>
    <t>11/05/2026</t>
  </si>
  <si>
    <t>Frontend – Visor Exterior: Renderizado exterior con Three.js, Feature Detection WebGL, indicador de progreso de carga.</t>
  </si>
  <si>
    <t>18/05/2026</t>
  </si>
  <si>
    <t>Frontend – Interior y Hotspots: Visor interior con transición animada, hotspots interactivos con panel informativo.</t>
  </si>
  <si>
    <t>19/05/2026</t>
  </si>
  <si>
    <t>25/05/2026</t>
  </si>
  <si>
    <t>Frontend – Herramientas y Responsive: Mini-mapa 2D sincronizado, reseteo de cámara, diseño Mobile-First y accesibilidad básica.</t>
  </si>
  <si>
    <t>26/05/2026</t>
  </si>
  <si>
    <t>01/06/2026</t>
  </si>
  <si>
    <t>Backend – API y Autenticación: API REST completa con Swagger, autenticación JWT con bcrypt, panel admin CRUD hotspots básico.</t>
  </si>
  <si>
    <t>08/06/2026</t>
  </si>
  <si>
    <t>Backend – Admin Avanzado y Seguridad: Carga de modelos GLB, logs de auditoría, validaciones de archivos, cabeceras HTTPS y seguridad.</t>
  </si>
  <si>
    <t>15/06/2026</t>
  </si>
  <si>
    <t>Pruebas y Validación: Pruebas funcionales, de rendimiento (FPS/carga), compatibilidad navegadores, evaluación ISO/IEC 25010:2023.</t>
  </si>
  <si>
    <t>22/06/2026</t>
  </si>
  <si>
    <t>Cierre: Despliegue VPS producción con Docker, documentación final, Swagger UI publicado y entrega del proyecto.</t>
  </si>
  <si>
    <t>26/06/2026</t>
  </si>
  <si>
    <t>TOTAL HORAS BACKLOG  (HU + HT)</t>
  </si>
  <si>
    <t>CRONOGRAMA DE SPRINTS — 07/04/2026 al 26/06/2026</t>
  </si>
  <si>
    <t>Semana</t>
  </si>
  <si>
    <t>Objetivo (resumen)</t>
  </si>
  <si>
    <t>Semana 1</t>
  </si>
  <si>
    <t>Semana 2</t>
  </si>
  <si>
    <t>Semana 3</t>
  </si>
  <si>
    <t>Semana 4</t>
  </si>
  <si>
    <t>Semana 5</t>
  </si>
  <si>
    <t>Semana 6</t>
  </si>
  <si>
    <t>Semana 7</t>
  </si>
  <si>
    <t>Semana 8</t>
  </si>
  <si>
    <t>Semana 9</t>
  </si>
  <si>
    <t>Semana 10</t>
  </si>
  <si>
    <t>Semana 11</t>
  </si>
  <si>
    <t>Semana 12</t>
  </si>
  <si>
    <t>Como usuario (estudiante/aspirante/visitante) quiero explorar el modelo 3D exterior de todos los edificios de la FIE para orientarme en el campus desde el navegador.</t>
  </si>
  <si>
    <t>Como usuario quiero explorar el modelo 3D interior del edificio principal de la FIE para conocer la distribución de laboratorios y servicios.</t>
  </si>
  <si>
    <t>Como administrador quiero visualizar los logs de auditoría del panel para monitorear accesos, cambios en hotspots y errores del sistema.</t>
  </si>
  <si>
    <t>Revisión del repositorio GitHub: verificar existencia de las 3 ramas, ejecutar 'docker-compose up' y confirmar que los 3 servicios levantan sin errores. Revisar que el .env.example está documentado y el README tiene instrucciones de instalación.</t>
  </si>
  <si>
    <t>Mostrar las fotografías capturadas (al menos 200 para exteriores). Abrir Meshroom y mostrar el resultado del procesamiento con nube de puntos densa generada. Exportar el modelo OBJ/PLY y verificar que los edificios son reconocibles sin huecos críticos.</t>
  </si>
  <si>
    <t>Abrir los archivos GLB en el visor de Three.js (prototipo básico) y verificar: peso de cada archivo ≤50 MB, que los 3 niveles LOD son visibles al cambiar la distancia de cámara, y que el conteo de triángulos no supera 300.000 simultáneamente.</t>
  </si>
  <si>
    <t>Demo técnica: abrir la app en un navegador sin WebGL (o emularlo) y verificar el mensaje de error con enlace. Cargar un modelo GLB y verificar que la barra de progreso se actualiza en %. Simular fallo de carga y verificar los 2 reintentos automáticos.</t>
  </si>
  <si>
    <t>Demo en vivo del visor exterior: abrir la URL, cronometrar el tiempo de carga, verificar que se pueden realizar los 3 controles (rotación, zoom, paneo) y que el LOD cambia al acercar/alejar la cámara.</t>
  </si>
  <si>
    <t>Demo en vivo: cargar la aplicación y verificar la barra de progreso. Simular error de red (DevTools → Network → Offline) y confirmar el mensaje amigable y los reintentos automáticos. Revisar Memory tab de DevTools tras cambiar entre vistas varias veces.</t>
  </si>
  <si>
    <t>Demo en vivo: hacer clic en el botón 'Vista Interior', verificar la animación de transición, navegar por al menos 3 espacios interiores y confirmar que el botón 'Vista Exterior' regresa correctamente.</t>
  </si>
  <si>
    <t>Demo en vivo: realizar rotación, zoom y paneo en escritorio; repetir los mismos gestos en un dispositivo móvil físico o emulador. Confirmar que el overlay de instrucciones aparece y desaparece.</t>
  </si>
  <si>
    <t>Demo en vivo: hacer clic en al menos 3 hotspots de tipos distintos (laboratorio, oficina, servicio), verificar que el panel muestra todos los campos y que se cierra correctamente. Confirmar en móvil con toque.</t>
  </si>
  <si>
    <t>Demo en vivo: mover la cámara en el visor y observar que el indicador del mini-mapa se desplaza sincronizadamente. Hacer clic en un punto del mapa y verificar que la cámara navega hacia ese lugar. Expandir y colapsar el mapa.</t>
  </si>
  <si>
    <t>Demo en vivo: navegar hasta una posición lejana/desorientada, presionar 'Cámara Inicial', verificar la animación suave de ~1.2 s, confirmar que el botón estuvo desactivado durante la animación y que el mini-mapa actualizó.</t>
  </si>
  <si>
    <t>Demo en vivo en un dispositivo móvil real o emulador de Chrome: navegar el visor con gestos táctiles, verificar que el mini-mapa está colapsado y se puede expandir, confirmar que el panel admin es usable con el dedo.</t>
  </si>
  <si>
    <t>Abrir Swagger UI en /api/docs y verificar que todos los endpoints están documentados con ejemplos. Probar cada endpoint con Postman: GET lista de hotspots, POST nuevo hotspot con datos completos, PUT actualización, DELETE con confirmación. Verificar tiempos de respuesta con Thunder Client.</t>
  </si>
  <si>
    <t>Demo técnica: hacer login correcto y verificar en DevTools que la cookie está marcada como HttpOnly y Secure. Hacer 5 intentos fallidos y verificar el bloqueo de 30 min. Intentar acceder a /api/admin/hotspots sin token y verificar error 401.</t>
  </si>
  <si>
    <t>Demo en vivo con el administrador: crear un hotspot nuevo, editarlo, desactivarlo (verificar que desaparece del visor) y reactivarlo. Abrir la tabla de logs y confirmar que cada acción quedó registrada.</t>
  </si>
  <si>
    <t>Demo en vivo: ingresar credenciales correctas y verificar redirección al dashboard. Intentar 5 veces con contraseña incorrecta y confirmar el bloqueo. Inspeccionar con DevTools que el token está en cookie HttpOnly (no en localStorage).</t>
  </si>
  <si>
    <t>Verificar con SecurityHeaders.com que el sitio obtiene al menos grado B. Usar OWASP ZAP o Burp Community para intentar XSS básico y confirmar que las entradas están sanitizadas. Mostrar texturas exteriores con desenfoque aplicado en las zonas con personas/vehículos.</t>
  </si>
  <si>
    <t>Demo: subir un archivo GLB válido desde el panel admin y verificar barra de progreso, confirmación de éxito y que el archivo aparece en la BD. Intentar subir un .pdf y un archivo de 60 MB y verificar mensajes de error descriptivos sin limpiar el formulario.</t>
  </si>
  <si>
    <t>Demo en vivo: desde el panel admin, subir un archivo GLB de prueba, observar la barra de progreso de subida, confirmar el mensaje de éxito y verificar que el nuevo modelo aparece disponible en el visor. Intentar subir un archivo no .glb y verificar el error.</t>
  </si>
  <si>
    <t>Demo en vivo: abrir la pantalla de logs, aplicar un filtro por fecha y tipo 'editar hotspot', verificar que solo se muestran registros del tipo seleccionado, exportar a CSV y abrir el archivo para confirmar que contiene los datos correctos.</t>
  </si>
  <si>
    <t>Presentar reporte de cobertura de pruebas con porcentaje ≥60%. Mostrar captura del Profiler de Chrome con FPS ≥30 en hardware de prueba. Mostrar evidencia de prueba en al menos 3 navegadores y 2 dispositivos móviles. Listar los bugs encontrados y su estado (resuelto/pendiente).</t>
  </si>
  <si>
    <t>Presentar el reporte de evaluación con los resultados por subcaracterística ISO/IEC 25010:2023. Mostrar el score de Lighthouse Accessibility ≥80. Presentar la tabla de resultados del cuestionario con al menos 30 respuestas recibidas.</t>
  </si>
  <si>
    <t>Prueba con teclado: navegar toda la interfaz sin usar el ratón. Usar WAVE Tool o Lighthouse en Chrome DevTools para verificar contraste y etiquetas ARIA. Confirmar que cada botón tiene aria-label y las imágenes tienen alt text.</t>
  </si>
  <si>
    <t>Demo en vivo: acceder a la URL pública de la aplicación desplegada y verificar que funciona completa. Mostrar el crontab o servicio de backup configurado. Detener el servicio backend y verificar que aparece la página de mantenimiento. Mostrar el uptime del servidor.</t>
  </si>
  <si>
    <t>Abrir el README y verificar que un desarrollador nuevo puede levantar el proyecto con los comandos descritos. Acceder a /api/docs en producción y verificar Swagger UI funcionando. Mostrar el SRS en PDF generado. Confirmar que el código está en el repositorio institucional ESPOCH.</t>
  </si>
  <si>
    <t>¿Cómo se comprueba?</t>
  </si>
  <si>
    <t>Preparación y Análisis: Configurar entorno Docker/GitHub y levantamiento de información espacial de la FIE.</t>
  </si>
  <si>
    <t>Diseño: Arquitectura del sistema, esquema BD PostGIS, wireframes del visor y mockups del panel admin.</t>
  </si>
  <si>
    <t>Procesamiento 3D – Captura: Captura fotogramétrica con solapamiento correcto y procesamiento SfM/MVS en Meshroom.</t>
  </si>
  <si>
    <t>Procesamiento 3D – Optimización: Retopología en Blender, baking de texturas, LOD y exportación GLB con Draco ≤50 MB.</t>
  </si>
  <si>
    <t>Frontend – Visor Exterior: Feature Detection WebGL y renderizado 3D exterior del campus FIE en Three.js.</t>
  </si>
  <si>
    <t>Frontend – Visor Interior y Navegación: Modelo 3D interior con transición animada y controles OrbitControls.</t>
  </si>
  <si>
    <t>Frontend – Hotspots, Carga y Responsive: Hotspots interactivos, barra de progreso de carga y diseño Mobile-First.</t>
  </si>
  <si>
    <t>Frontend – Mini-mapa, Reseteo y Accesibilidad: Herramientas de orientación espacial y cumplimiento WCAG 2.1 AA.</t>
  </si>
  <si>
    <t>Backend – API REST y Autenticación: Endpoints CRUD con Swagger/OpenAPI y autenticación JWT con bcrypt.</t>
  </si>
  <si>
    <t>Backend – Panel Admin: UI de autenticación, gestión de hotspots y configuración de seguridad HTTPS/XSS.</t>
  </si>
  <si>
    <t>Backend – Carga de Archivos y Logs: Módulo GLB upload, logs de auditoría y validación de archivos multimedia.</t>
  </si>
  <si>
    <t>Pruebas, Evaluación ISO/IEC 25010:2023, Despliegue VPS producción y Documentación técnica final.</t>
  </si>
  <si>
    <t>Presentar el documento de inventario espacial con al menos 15 hotspots identificados (nombre, tipo, descripción, horario). El inventario debe estar validado por el director.</t>
  </si>
  <si>
    <t>Presentar los wireframes de todas las pantallas principales. Confirmar que los mockups están alineados con la identidad visual ESPOCH (colores ##BC0613).</t>
  </si>
  <si>
    <t xml:space="preserve">Presentar el diagrama de arquitectur y de secuencia. Ejecutar el script SQL de creación de tablas en PostgreSQL y verificar que PostGIS está habilitado con 'SELECT PostGIS_Version()'.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</si>
</sst>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9"/>
      <color rgb="FF000000"/>
      <name val="Arial"/>
      <family val="2"/>
    </font>
    <font>
      <b/>
      <sz val="10"/>
      <color rgb="FFFFFFFF"/>
      <name val="Arial"/>
      <family val="2"/>
    </font>
    <font>
      <sz val="9"/>
      <color rgb="FF000000"/>
      <name val="Arial"/>
      <family val="2"/>
    </font>
    <font>
      <sz val="10"/>
      <color rgb="FFFFFFFF"/>
      <name val="Arial"/>
      <family val="2"/>
    </font>
    <font>
      <b/>
      <sz val="11"/>
      <color rgb="FFFFFFFF"/>
      <name val="Arial"/>
      <family val="2"/>
    </font>
    <font>
      <b/>
      <sz val="13"/>
      <color rgb="FFFFFFFF"/>
      <name val="Arial"/>
      <family val="2"/>
    </font>
    <font>
      <b/>
      <sz val="11"/>
      <color rgb="FF1F3864"/>
      <name val="Arial"/>
      <family val="2"/>
      <charset val="1"/>
    </font>
    <font>
      <sz val="9"/>
      <color rgb="FF000000"/>
      <name val="Arial"/>
      <family val="2"/>
      <charset val="1"/>
    </font>
    <font>
      <b/>
      <sz val="9"/>
      <color rgb="FF000000"/>
      <name val="Arial"/>
      <charset val="1"/>
    </font>
    <font>
      <sz val="8"/>
      <color rgb="FF000000"/>
      <name val="Arial"/>
      <charset val="1"/>
    </font>
    <font>
      <sz val="8"/>
      <color rgb="FF1A3A0A"/>
      <name val="Arial"/>
      <charset val="1"/>
    </font>
    <font>
      <sz val="8"/>
      <color rgb="FF1A3A0A"/>
      <name val="Arial"/>
      <family val="2"/>
    </font>
  </fonts>
  <fills count="51">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1F3864"/>
        <bgColor rgb="FF333333"/>
      </patternFill>
    </fill>
    <fill>
      <patternFill patternType="solid">
        <fgColor rgb="FFE8F5E9"/>
        <bgColor rgb="FFF0F7EB"/>
      </patternFill>
    </fill>
    <fill>
      <patternFill patternType="solid">
        <fgColor rgb="FFEAD1DC"/>
        <bgColor rgb="FFF4CCCC"/>
      </patternFill>
    </fill>
    <fill>
      <patternFill patternType="solid">
        <fgColor rgb="FF2E75B6"/>
        <bgColor rgb="FF1F5C8B"/>
      </patternFill>
    </fill>
    <fill>
      <patternFill patternType="solid">
        <fgColor rgb="FF2E75B6"/>
        <bgColor rgb="FF333333"/>
      </patternFill>
    </fill>
    <fill>
      <patternFill patternType="solid">
        <fgColor theme="9" tint="0.79989013336588644"/>
        <bgColor rgb="FFDFF0D8"/>
      </patternFill>
    </fill>
    <fill>
      <patternFill patternType="solid">
        <fgColor rgb="FFE2EFDA"/>
        <bgColor rgb="FFE2F0D9"/>
      </patternFill>
    </fill>
    <fill>
      <patternFill patternType="solid">
        <fgColor rgb="FFC00000"/>
        <bgColor rgb="FFFF4D4D"/>
      </patternFill>
    </fill>
    <fill>
      <patternFill patternType="solid">
        <fgColor rgb="FFDAEEF3"/>
        <bgColor rgb="FFD9EAF7"/>
      </patternFill>
    </fill>
    <fill>
      <patternFill patternType="solid">
        <fgColor rgb="FFE07000"/>
        <bgColor rgb="FF9C6500"/>
      </patternFill>
    </fill>
    <fill>
      <patternFill patternType="solid">
        <fgColor rgb="FFEAD1DC"/>
        <bgColor rgb="FFF2CFEE"/>
      </patternFill>
    </fill>
  </fills>
  <borders count="7">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s>
  <cellStyleXfs count="1">
    <xf numFmtId="0" fontId="0" fillId="0" borderId="0"/>
  </cellStyleXfs>
  <cellXfs count="166">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0" fillId="2" borderId="1" xfId="0" applyFill="1" applyBorder="1"/>
    <xf numFmtId="0" fontId="3" fillId="7"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7" fillId="29" borderId="1" xfId="0" applyFont="1" applyFill="1" applyBorder="1" applyAlignment="1">
      <alignment horizontal="center"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1" fillId="33" borderId="1" xfId="0" applyFont="1" applyFill="1" applyBorder="1" applyAlignment="1">
      <alignment horizontal="center" vertical="center" wrapText="1"/>
    </xf>
    <xf numFmtId="0" fontId="21" fillId="6" borderId="1" xfId="0" applyFont="1" applyFill="1" applyBorder="1" applyAlignment="1">
      <alignment horizontal="center" vertical="center" wrapText="1"/>
    </xf>
    <xf numFmtId="0" fontId="21" fillId="23" borderId="1" xfId="0" applyFont="1" applyFill="1" applyBorder="1" applyAlignment="1">
      <alignment horizontal="center" vertical="center" wrapText="1"/>
    </xf>
    <xf numFmtId="0" fontId="21" fillId="34" borderId="1" xfId="0" applyFont="1" applyFill="1" applyBorder="1" applyAlignment="1">
      <alignment horizontal="center" vertical="center" wrapText="1"/>
    </xf>
    <xf numFmtId="0" fontId="21" fillId="35" borderId="1" xfId="0" applyFont="1" applyFill="1" applyBorder="1" applyAlignment="1">
      <alignment horizontal="center" vertical="center" wrapText="1"/>
    </xf>
    <xf numFmtId="0" fontId="21" fillId="36" borderId="1" xfId="0" applyFont="1" applyFill="1" applyBorder="1" applyAlignment="1">
      <alignment horizontal="center" vertical="center" wrapText="1"/>
    </xf>
    <xf numFmtId="0" fontId="21" fillId="37" borderId="1" xfId="0" applyFont="1" applyFill="1" applyBorder="1" applyAlignment="1">
      <alignment horizontal="center" vertical="center" wrapText="1"/>
    </xf>
    <xf numFmtId="0" fontId="21" fillId="38" borderId="1" xfId="0" applyFont="1" applyFill="1" applyBorder="1" applyAlignment="1">
      <alignment horizontal="center" vertical="center" wrapText="1"/>
    </xf>
    <xf numFmtId="0" fontId="21" fillId="39" borderId="1" xfId="0" applyFont="1" applyFill="1" applyBorder="1" applyAlignment="1">
      <alignment horizontal="center" vertical="center" wrapText="1"/>
    </xf>
    <xf numFmtId="0" fontId="23" fillId="33" borderId="1" xfId="0" applyFont="1" applyFill="1" applyBorder="1" applyAlignment="1">
      <alignment horizontal="center" vertical="center" wrapText="1"/>
    </xf>
    <xf numFmtId="0" fontId="23" fillId="6" borderId="1" xfId="0" applyFont="1" applyFill="1" applyBorder="1" applyAlignment="1">
      <alignment horizontal="center" vertical="center" wrapText="1"/>
    </xf>
    <xf numFmtId="0" fontId="23" fillId="23" borderId="1" xfId="0" applyFont="1" applyFill="1" applyBorder="1" applyAlignment="1">
      <alignment horizontal="center" vertical="center" wrapText="1"/>
    </xf>
    <xf numFmtId="0" fontId="23" fillId="34" borderId="1" xfId="0" applyFont="1" applyFill="1" applyBorder="1" applyAlignment="1">
      <alignment horizontal="center" vertical="center" wrapText="1"/>
    </xf>
    <xf numFmtId="0" fontId="23" fillId="35" borderId="1" xfId="0" applyFont="1" applyFill="1" applyBorder="1" applyAlignment="1">
      <alignment horizontal="center" vertical="center" wrapText="1"/>
    </xf>
    <xf numFmtId="0" fontId="23" fillId="36" borderId="1" xfId="0" applyFont="1" applyFill="1" applyBorder="1" applyAlignment="1">
      <alignment horizontal="center" vertical="center" wrapText="1"/>
    </xf>
    <xf numFmtId="0" fontId="23" fillId="37" borderId="1" xfId="0" applyFont="1" applyFill="1" applyBorder="1" applyAlignment="1">
      <alignment horizontal="center" vertical="center" wrapText="1"/>
    </xf>
    <xf numFmtId="0" fontId="23" fillId="38" borderId="1" xfId="0" applyFont="1" applyFill="1" applyBorder="1" applyAlignment="1">
      <alignment horizontal="center" vertical="center" wrapText="1"/>
    </xf>
    <xf numFmtId="0" fontId="23" fillId="39"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3" fillId="31" borderId="1" xfId="0" applyFont="1" applyFill="1" applyBorder="1" applyAlignment="1">
      <alignment horizontal="left" vertical="center" wrapText="1"/>
    </xf>
    <xf numFmtId="0" fontId="23" fillId="32" borderId="1" xfId="0" applyFont="1" applyFill="1" applyBorder="1" applyAlignment="1">
      <alignment horizontal="left" vertical="center" wrapText="1"/>
    </xf>
    <xf numFmtId="0" fontId="21" fillId="42" borderId="1" xfId="0" applyFont="1" applyFill="1" applyBorder="1" applyAlignment="1">
      <alignment horizontal="center" vertical="center" wrapText="1"/>
    </xf>
    <xf numFmtId="0" fontId="23" fillId="42" borderId="1" xfId="0" applyFont="1" applyFill="1" applyBorder="1" applyAlignment="1">
      <alignment horizontal="center" vertical="center" wrapText="1"/>
    </xf>
    <xf numFmtId="0" fontId="26" fillId="40" borderId="1" xfId="0" applyFont="1" applyFill="1" applyBorder="1" applyAlignment="1">
      <alignment horizontal="center" vertical="center" wrapText="1"/>
    </xf>
    <xf numFmtId="0" fontId="22" fillId="43" borderId="1" xfId="0" applyFont="1" applyFill="1" applyBorder="1" applyAlignment="1">
      <alignment horizontal="center" vertical="center" wrapText="1"/>
    </xf>
    <xf numFmtId="0" fontId="24" fillId="44" borderId="1" xfId="0" applyFont="1" applyFill="1" applyBorder="1" applyAlignment="1">
      <alignment horizontal="center" vertical="center" wrapText="1"/>
    </xf>
    <xf numFmtId="0" fontId="25" fillId="40" borderId="2" xfId="0" applyFont="1" applyFill="1" applyBorder="1" applyAlignment="1">
      <alignmen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7" fillId="45" borderId="1" xfId="0" applyFont="1" applyFill="1" applyBorder="1" applyAlignment="1">
      <alignment horizontal="center" vertical="center" wrapText="1"/>
    </xf>
    <xf numFmtId="0" fontId="28" fillId="33" borderId="1" xfId="0" applyFont="1" applyFill="1" applyBorder="1" applyAlignment="1">
      <alignment horizontal="center" vertical="center" wrapText="1"/>
    </xf>
    <xf numFmtId="0" fontId="28" fillId="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0" fontId="28" fillId="34" borderId="1" xfId="0" applyFont="1" applyFill="1" applyBorder="1" applyAlignment="1">
      <alignment horizontal="center" vertical="center" wrapText="1"/>
    </xf>
    <xf numFmtId="0" fontId="28" fillId="35" borderId="1" xfId="0" applyFont="1" applyFill="1" applyBorder="1" applyAlignment="1">
      <alignment horizontal="center" vertical="center" wrapText="1"/>
    </xf>
    <xf numFmtId="0" fontId="28" fillId="36" borderId="1" xfId="0" applyFont="1" applyFill="1" applyBorder="1" applyAlignment="1">
      <alignment horizontal="center" vertical="center" wrapText="1"/>
    </xf>
    <xf numFmtId="0" fontId="28" fillId="37" borderId="1" xfId="0" applyFont="1" applyFill="1" applyBorder="1" applyAlignment="1">
      <alignment horizontal="center" vertical="center" wrapText="1"/>
    </xf>
    <xf numFmtId="0" fontId="28" fillId="38" borderId="1" xfId="0" applyFont="1" applyFill="1" applyBorder="1" applyAlignment="1">
      <alignment horizontal="center" vertical="center" wrapText="1"/>
    </xf>
    <xf numFmtId="0" fontId="28" fillId="39" borderId="1" xfId="0" applyFont="1" applyFill="1" applyBorder="1" applyAlignment="1">
      <alignment horizontal="center" vertical="center" wrapText="1"/>
    </xf>
    <xf numFmtId="0" fontId="9" fillId="46" borderId="1" xfId="0" applyFont="1" applyFill="1" applyBorder="1" applyAlignment="1">
      <alignment horizontal="center" vertical="center" wrapText="1"/>
    </xf>
    <xf numFmtId="0" fontId="9" fillId="29" borderId="1" xfId="0" applyFont="1" applyFill="1" applyBorder="1" applyAlignment="1">
      <alignment horizontal="center" vertical="center" wrapText="1"/>
    </xf>
    <xf numFmtId="0" fontId="4" fillId="46" borderId="1" xfId="0" applyFont="1" applyFill="1" applyBorder="1" applyAlignment="1">
      <alignment horizontal="left" vertical="top" wrapText="1"/>
    </xf>
    <xf numFmtId="0" fontId="11" fillId="47" borderId="1" xfId="0" applyFont="1" applyFill="1" applyBorder="1" applyAlignment="1">
      <alignment horizontal="center" vertical="center" wrapText="1"/>
    </xf>
    <xf numFmtId="0" fontId="4" fillId="33" borderId="1" xfId="0" applyFont="1" applyFill="1" applyBorder="1" applyAlignment="1">
      <alignment horizontal="center" vertical="center" wrapText="1"/>
    </xf>
    <xf numFmtId="0" fontId="31" fillId="41" borderId="1" xfId="0" applyFont="1" applyFill="1" applyBorder="1" applyAlignment="1">
      <alignment horizontal="left" vertical="top" wrapText="1"/>
    </xf>
    <xf numFmtId="0" fontId="4" fillId="6"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0" fontId="30" fillId="23" borderId="1" xfId="0" applyFont="1" applyFill="1" applyBorder="1" applyAlignment="1">
      <alignment horizontal="left" vertical="center" wrapText="1"/>
    </xf>
    <xf numFmtId="0" fontId="4" fillId="23" borderId="1" xfId="0" applyFont="1" applyFill="1" applyBorder="1" applyAlignment="1">
      <alignment horizontal="center" vertical="center" wrapText="1"/>
    </xf>
    <xf numFmtId="0" fontId="29" fillId="34" borderId="1" xfId="0" applyFont="1" applyFill="1" applyBorder="1" applyAlignment="1">
      <alignment horizontal="center" vertical="center" wrapText="1"/>
    </xf>
    <xf numFmtId="0" fontId="30" fillId="34" borderId="1" xfId="0" applyFont="1" applyFill="1" applyBorder="1" applyAlignment="1">
      <alignment horizontal="left" vertical="center" wrapText="1"/>
    </xf>
    <xf numFmtId="0" fontId="4" fillId="34" borderId="1" xfId="0" applyFont="1" applyFill="1" applyBorder="1" applyAlignment="1">
      <alignment horizontal="center" vertical="center" wrapText="1"/>
    </xf>
    <xf numFmtId="0" fontId="4" fillId="35" borderId="1" xfId="0" applyFont="1" applyFill="1" applyBorder="1" applyAlignment="1">
      <alignment horizontal="center" vertical="center" wrapText="1"/>
    </xf>
    <xf numFmtId="0" fontId="10" fillId="48" borderId="1" xfId="0" applyFont="1" applyFill="1" applyBorder="1" applyAlignment="1">
      <alignment horizontal="center" vertical="center" wrapText="1"/>
    </xf>
    <xf numFmtId="0" fontId="4" fillId="48" borderId="1" xfId="0" applyFont="1" applyFill="1" applyBorder="1" applyAlignment="1">
      <alignment horizontal="left" vertical="top" wrapText="1"/>
    </xf>
    <xf numFmtId="0" fontId="4" fillId="36" borderId="1" xfId="0" applyFont="1" applyFill="1" applyBorder="1" applyAlignment="1">
      <alignment horizontal="center" vertical="center" wrapText="1"/>
    </xf>
    <xf numFmtId="0" fontId="11" fillId="49" borderId="1" xfId="0" applyFont="1" applyFill="1" applyBorder="1" applyAlignment="1">
      <alignment horizontal="center" vertical="center" wrapText="1"/>
    </xf>
    <xf numFmtId="0" fontId="4" fillId="50" borderId="1" xfId="0"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38" borderId="1" xfId="0" applyFont="1" applyFill="1" applyBorder="1" applyAlignment="1">
      <alignment horizontal="center" vertical="center" wrapText="1"/>
    </xf>
    <xf numFmtId="0" fontId="4" fillId="39" borderId="1" xfId="0" applyFont="1" applyFill="1" applyBorder="1" applyAlignment="1">
      <alignment horizontal="center" vertical="center" wrapText="1"/>
    </xf>
    <xf numFmtId="0" fontId="23" fillId="23" borderId="2" xfId="0" applyFont="1" applyFill="1" applyBorder="1" applyAlignment="1">
      <alignment horizontal="left" vertical="center" wrapText="1"/>
    </xf>
    <xf numFmtId="0" fontId="23" fillId="34" borderId="2" xfId="0" applyFont="1" applyFill="1" applyBorder="1" applyAlignment="1">
      <alignment horizontal="left" vertical="center" wrapText="1"/>
    </xf>
    <xf numFmtId="0" fontId="23" fillId="38" borderId="2" xfId="0" applyFont="1" applyFill="1" applyBorder="1" applyAlignment="1">
      <alignment horizontal="left" vertical="center" wrapText="1"/>
    </xf>
    <xf numFmtId="0" fontId="23" fillId="39" borderId="2" xfId="0" applyFont="1" applyFill="1" applyBorder="1" applyAlignment="1">
      <alignment horizontal="left" vertical="center" wrapText="1"/>
    </xf>
    <xf numFmtId="0" fontId="23" fillId="35" borderId="2" xfId="0" applyFont="1" applyFill="1" applyBorder="1" applyAlignment="1">
      <alignment horizontal="left" vertical="center" wrapText="1"/>
    </xf>
    <xf numFmtId="0" fontId="23" fillId="36" borderId="2" xfId="0" applyFont="1" applyFill="1" applyBorder="1" applyAlignment="1">
      <alignment horizontal="left" vertical="center" wrapText="1"/>
    </xf>
    <xf numFmtId="0" fontId="23" fillId="6" borderId="2" xfId="0" applyFont="1" applyFill="1" applyBorder="1" applyAlignment="1">
      <alignment horizontal="left" vertical="center" wrapText="1"/>
    </xf>
    <xf numFmtId="0" fontId="23" fillId="42" borderId="2" xfId="0" applyFont="1" applyFill="1" applyBorder="1" applyAlignment="1">
      <alignment horizontal="left" vertical="center" wrapText="1"/>
    </xf>
    <xf numFmtId="0" fontId="23" fillId="37" borderId="2" xfId="0" applyFont="1" applyFill="1" applyBorder="1" applyAlignment="1">
      <alignment horizontal="left" vertical="center" wrapText="1"/>
    </xf>
    <xf numFmtId="0" fontId="25" fillId="40" borderId="2" xfId="0" applyFont="1" applyFill="1" applyBorder="1" applyAlignment="1">
      <alignment horizontal="center" vertical="center" wrapText="1"/>
    </xf>
    <xf numFmtId="0" fontId="23" fillId="33" borderId="2" xfId="0" applyFont="1" applyFill="1" applyBorder="1" applyAlignment="1">
      <alignment horizontal="left" vertical="center" wrapText="1"/>
    </xf>
    <xf numFmtId="0" fontId="29" fillId="38" borderId="1" xfId="0" applyFont="1" applyFill="1" applyBorder="1" applyAlignment="1">
      <alignment horizontal="center" vertical="center" wrapText="1"/>
    </xf>
    <xf numFmtId="0" fontId="30" fillId="38" borderId="1" xfId="0" applyFont="1" applyFill="1" applyBorder="1" applyAlignment="1">
      <alignment horizontal="left" vertical="center" wrapText="1"/>
    </xf>
    <xf numFmtId="0" fontId="29" fillId="39" borderId="1" xfId="0" applyFont="1" applyFill="1" applyBorder="1" applyAlignment="1">
      <alignment horizontal="center" vertical="center" wrapText="1"/>
    </xf>
    <xf numFmtId="0" fontId="30" fillId="39" borderId="1" xfId="0" applyFont="1" applyFill="1" applyBorder="1" applyAlignment="1">
      <alignment horizontal="left" vertical="center" wrapText="1"/>
    </xf>
    <xf numFmtId="0" fontId="29" fillId="35" borderId="1" xfId="0" applyFont="1" applyFill="1" applyBorder="1" applyAlignment="1">
      <alignment horizontal="center" vertical="center" wrapText="1"/>
    </xf>
    <xf numFmtId="0" fontId="30" fillId="35" borderId="1" xfId="0" applyFont="1" applyFill="1" applyBorder="1" applyAlignment="1">
      <alignment horizontal="left" vertical="center" wrapText="1"/>
    </xf>
    <xf numFmtId="0" fontId="29" fillId="37" borderId="1" xfId="0" applyFont="1" applyFill="1" applyBorder="1" applyAlignment="1">
      <alignment horizontal="center" vertical="center" wrapText="1"/>
    </xf>
    <xf numFmtId="0" fontId="30" fillId="37" borderId="1"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29" fillId="6" borderId="1" xfId="0" applyFont="1" applyFill="1" applyBorder="1" applyAlignment="1">
      <alignment horizontal="center" vertical="center" wrapText="1"/>
    </xf>
    <xf numFmtId="0" fontId="30" fillId="6" borderId="1" xfId="0" applyFont="1" applyFill="1" applyBorder="1" applyAlignment="1">
      <alignment horizontal="left" vertical="center" wrapText="1"/>
    </xf>
    <xf numFmtId="0" fontId="29" fillId="33" borderId="1" xfId="0" applyFont="1" applyFill="1" applyBorder="1" applyAlignment="1">
      <alignment horizontal="center" vertical="center" wrapText="1"/>
    </xf>
    <xf numFmtId="0" fontId="30" fillId="33" borderId="1" xfId="0" applyFont="1" applyFill="1" applyBorder="1" applyAlignment="1">
      <alignment horizontal="left" vertical="center" wrapText="1"/>
    </xf>
    <xf numFmtId="0" fontId="29" fillId="36" borderId="1" xfId="0" applyFont="1" applyFill="1" applyBorder="1" applyAlignment="1">
      <alignment horizontal="center" vertical="center" wrapText="1"/>
    </xf>
    <xf numFmtId="0" fontId="30" fillId="36" borderId="1" xfId="0" applyFont="1" applyFill="1" applyBorder="1" applyAlignment="1">
      <alignment horizontal="left" vertical="center" wrapText="1"/>
    </xf>
    <xf numFmtId="0" fontId="29" fillId="50" borderId="1" xfId="0" applyFont="1" applyFill="1" applyBorder="1" applyAlignment="1">
      <alignment horizontal="center" vertical="center" wrapText="1"/>
    </xf>
    <xf numFmtId="0" fontId="30" fillId="50" borderId="1" xfId="0" applyFont="1" applyFill="1" applyBorder="1" applyAlignment="1">
      <alignment horizontal="left" vertical="center" wrapText="1"/>
    </xf>
    <xf numFmtId="0" fontId="11" fillId="16"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4" fillId="9" borderId="2" xfId="0" applyFont="1" applyFill="1" applyBorder="1" applyAlignment="1">
      <alignment horizontal="left"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xf numFmtId="0" fontId="32" fillId="41"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2E75B6"/>
      <color rgb="FFBD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28"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44" t="s">
        <v>213</v>
      </c>
      <c r="B1" s="144"/>
      <c r="C1" s="144"/>
      <c r="D1" s="144"/>
      <c r="E1" s="144"/>
      <c r="F1" s="144"/>
      <c r="G1" s="144"/>
      <c r="H1" s="144"/>
      <c r="I1" s="144"/>
    </row>
    <row r="2" spans="1:9" ht="32.4" customHeight="1" x14ac:dyDescent="0.3">
      <c r="A2" s="10" t="s">
        <v>81</v>
      </c>
      <c r="B2" s="152" t="s">
        <v>214</v>
      </c>
      <c r="C2" s="152"/>
      <c r="D2" s="152"/>
      <c r="E2" s="152"/>
      <c r="F2" s="10" t="s">
        <v>82</v>
      </c>
      <c r="G2" s="149" t="s">
        <v>204</v>
      </c>
      <c r="H2" s="150"/>
      <c r="I2" s="151"/>
    </row>
    <row r="3" spans="1:9" ht="24" customHeight="1" x14ac:dyDescent="0.3">
      <c r="A3" s="10" t="s">
        <v>83</v>
      </c>
      <c r="B3" s="152" t="s">
        <v>84</v>
      </c>
      <c r="C3" s="152"/>
      <c r="D3" s="152"/>
      <c r="E3" s="152"/>
      <c r="F3" s="10" t="s">
        <v>85</v>
      </c>
      <c r="G3" s="149" t="s">
        <v>86</v>
      </c>
      <c r="H3" s="150"/>
      <c r="I3" s="151"/>
    </row>
    <row r="4" spans="1:9" ht="24" x14ac:dyDescent="0.3">
      <c r="A4" s="10" t="s">
        <v>87</v>
      </c>
      <c r="B4" s="152" t="s">
        <v>88</v>
      </c>
      <c r="C4" s="152"/>
      <c r="D4" s="152"/>
      <c r="E4" s="152"/>
      <c r="F4" s="10" t="s">
        <v>89</v>
      </c>
      <c r="G4" s="149" t="s">
        <v>90</v>
      </c>
      <c r="H4" s="150"/>
      <c r="I4" s="151"/>
    </row>
    <row r="5" spans="1:9" ht="30" customHeight="1" x14ac:dyDescent="0.3">
      <c r="A5" s="10" t="s">
        <v>91</v>
      </c>
      <c r="B5" s="152" t="s">
        <v>92</v>
      </c>
      <c r="C5" s="152"/>
      <c r="D5" s="152"/>
      <c r="E5" s="152"/>
      <c r="F5" s="10" t="s">
        <v>93</v>
      </c>
      <c r="G5" s="149" t="s">
        <v>94</v>
      </c>
      <c r="H5" s="150"/>
      <c r="I5" s="151"/>
    </row>
    <row r="6" spans="1:9" ht="24" x14ac:dyDescent="0.3">
      <c r="A6" s="10" t="s">
        <v>95</v>
      </c>
      <c r="B6" s="152" t="s">
        <v>96</v>
      </c>
      <c r="C6" s="152"/>
      <c r="D6" s="152"/>
      <c r="E6" s="152"/>
      <c r="F6" s="10" t="s">
        <v>97</v>
      </c>
      <c r="G6" s="149" t="s">
        <v>205</v>
      </c>
      <c r="H6" s="150"/>
      <c r="I6" s="151"/>
    </row>
    <row r="7" spans="1:9" ht="24" customHeight="1" x14ac:dyDescent="0.3">
      <c r="A7" s="10" t="s">
        <v>98</v>
      </c>
      <c r="B7" s="152" t="s">
        <v>99</v>
      </c>
      <c r="C7" s="152"/>
      <c r="D7" s="152"/>
      <c r="E7" s="152"/>
      <c r="F7" s="10" t="s">
        <v>100</v>
      </c>
      <c r="G7" s="149" t="s">
        <v>101</v>
      </c>
      <c r="H7" s="150"/>
      <c r="I7" s="151"/>
    </row>
    <row r="8" spans="1:9" ht="24" x14ac:dyDescent="0.3">
      <c r="A8" s="10" t="s">
        <v>102</v>
      </c>
      <c r="B8" s="152" t="s">
        <v>103</v>
      </c>
      <c r="C8" s="152"/>
      <c r="D8" s="152"/>
      <c r="E8" s="152"/>
      <c r="F8" s="10" t="s">
        <v>104</v>
      </c>
      <c r="G8" s="149" t="s">
        <v>105</v>
      </c>
      <c r="H8" s="150"/>
      <c r="I8" s="151"/>
    </row>
    <row r="10" spans="1:9" ht="52.8" x14ac:dyDescent="0.3">
      <c r="A10" s="11" t="s">
        <v>106</v>
      </c>
      <c r="B10" s="11" t="s">
        <v>1</v>
      </c>
      <c r="C10" s="11" t="s">
        <v>107</v>
      </c>
      <c r="D10" s="11" t="s">
        <v>77</v>
      </c>
      <c r="E10" s="11" t="s">
        <v>108</v>
      </c>
      <c r="F10" s="11" t="s">
        <v>5</v>
      </c>
      <c r="G10" s="11" t="s">
        <v>109</v>
      </c>
      <c r="H10" s="11" t="s">
        <v>215</v>
      </c>
      <c r="I10" s="11" t="s">
        <v>110</v>
      </c>
    </row>
    <row r="11" spans="1:9" ht="14.4" customHeight="1" x14ac:dyDescent="0.3">
      <c r="A11" s="153" t="s">
        <v>111</v>
      </c>
      <c r="B11" s="154"/>
      <c r="C11" s="154"/>
      <c r="D11" s="154"/>
      <c r="E11" s="154"/>
      <c r="F11" s="154"/>
      <c r="G11" s="154"/>
      <c r="H11" s="154"/>
      <c r="I11" s="155"/>
    </row>
    <row r="12" spans="1:9" ht="45.6" x14ac:dyDescent="0.3">
      <c r="A12" s="12">
        <v>1</v>
      </c>
      <c r="B12" s="12" t="s">
        <v>10</v>
      </c>
      <c r="C12" s="13" t="s">
        <v>112</v>
      </c>
      <c r="D12" s="14" t="s">
        <v>113</v>
      </c>
      <c r="E12" s="15" t="s">
        <v>114</v>
      </c>
      <c r="F12" s="16" t="s">
        <v>115</v>
      </c>
      <c r="G12" s="17" t="s">
        <v>116</v>
      </c>
      <c r="H12" s="46">
        <v>7</v>
      </c>
      <c r="I12" s="18" t="s">
        <v>117</v>
      </c>
    </row>
    <row r="13" spans="1:9" ht="45.6" x14ac:dyDescent="0.3">
      <c r="A13" s="12">
        <v>2</v>
      </c>
      <c r="B13" s="12" t="s">
        <v>15</v>
      </c>
      <c r="C13" s="19" t="s">
        <v>118</v>
      </c>
      <c r="D13" s="14" t="s">
        <v>113</v>
      </c>
      <c r="E13" s="20" t="s">
        <v>119</v>
      </c>
      <c r="F13" s="16" t="s">
        <v>115</v>
      </c>
      <c r="G13" s="21" t="s">
        <v>120</v>
      </c>
      <c r="H13" s="46">
        <v>7</v>
      </c>
      <c r="I13" s="22" t="s">
        <v>117</v>
      </c>
    </row>
    <row r="14" spans="1:9" ht="45.6" x14ac:dyDescent="0.3">
      <c r="A14" s="12">
        <v>3</v>
      </c>
      <c r="B14" s="12" t="s">
        <v>18</v>
      </c>
      <c r="C14" s="13" t="s">
        <v>121</v>
      </c>
      <c r="D14" s="14" t="s">
        <v>113</v>
      </c>
      <c r="E14" s="15" t="s">
        <v>122</v>
      </c>
      <c r="F14" s="16" t="s">
        <v>115</v>
      </c>
      <c r="G14" s="17" t="s">
        <v>123</v>
      </c>
      <c r="H14" s="46">
        <v>5</v>
      </c>
      <c r="I14" s="18" t="s">
        <v>117</v>
      </c>
    </row>
    <row r="15" spans="1:9" ht="57" x14ac:dyDescent="0.3">
      <c r="A15" s="12">
        <v>4</v>
      </c>
      <c r="B15" s="12" t="s">
        <v>21</v>
      </c>
      <c r="C15" s="19" t="s">
        <v>124</v>
      </c>
      <c r="D15" s="14" t="s">
        <v>113</v>
      </c>
      <c r="E15" s="20" t="s">
        <v>125</v>
      </c>
      <c r="F15" s="16" t="s">
        <v>115</v>
      </c>
      <c r="G15" s="21" t="s">
        <v>126</v>
      </c>
      <c r="H15" s="46">
        <v>6</v>
      </c>
      <c r="I15" s="22" t="s">
        <v>117</v>
      </c>
    </row>
    <row r="16" spans="1:9" ht="57" x14ac:dyDescent="0.3">
      <c r="A16" s="12">
        <v>5</v>
      </c>
      <c r="B16" s="12" t="s">
        <v>24</v>
      </c>
      <c r="C16" s="13" t="s">
        <v>127</v>
      </c>
      <c r="D16" s="14" t="s">
        <v>113</v>
      </c>
      <c r="E16" s="15" t="s">
        <v>128</v>
      </c>
      <c r="F16" s="16" t="s">
        <v>115</v>
      </c>
      <c r="G16" s="17" t="s">
        <v>129</v>
      </c>
      <c r="H16" s="46">
        <v>5</v>
      </c>
      <c r="I16" s="18" t="s">
        <v>117</v>
      </c>
    </row>
    <row r="17" spans="1:9" ht="45.6" x14ac:dyDescent="0.3">
      <c r="A17" s="12">
        <v>6</v>
      </c>
      <c r="B17" s="12" t="s">
        <v>27</v>
      </c>
      <c r="C17" s="19" t="s">
        <v>130</v>
      </c>
      <c r="D17" s="14" t="s">
        <v>113</v>
      </c>
      <c r="E17" s="20" t="s">
        <v>131</v>
      </c>
      <c r="F17" s="16" t="s">
        <v>115</v>
      </c>
      <c r="G17" s="21" t="s">
        <v>132</v>
      </c>
      <c r="H17" s="46">
        <v>2</v>
      </c>
      <c r="I17" s="22" t="s">
        <v>117</v>
      </c>
    </row>
    <row r="18" spans="1:9" ht="68.400000000000006" x14ac:dyDescent="0.3">
      <c r="A18" s="12">
        <v>7</v>
      </c>
      <c r="B18" s="12" t="s">
        <v>30</v>
      </c>
      <c r="C18" s="13" t="s">
        <v>133</v>
      </c>
      <c r="D18" s="14" t="s">
        <v>113</v>
      </c>
      <c r="E18" s="15" t="s">
        <v>134</v>
      </c>
      <c r="F18" s="16" t="s">
        <v>115</v>
      </c>
      <c r="G18" s="17" t="s">
        <v>135</v>
      </c>
      <c r="H18" s="46">
        <v>14</v>
      </c>
      <c r="I18" s="23" t="s">
        <v>210</v>
      </c>
    </row>
    <row r="19" spans="1:9" ht="57" x14ac:dyDescent="0.3">
      <c r="A19" s="12">
        <v>8</v>
      </c>
      <c r="B19" s="12" t="s">
        <v>34</v>
      </c>
      <c r="C19" s="19" t="s">
        <v>136</v>
      </c>
      <c r="D19" s="14" t="s">
        <v>113</v>
      </c>
      <c r="E19" s="20" t="s">
        <v>137</v>
      </c>
      <c r="F19" s="16" t="s">
        <v>115</v>
      </c>
      <c r="G19" s="21" t="s">
        <v>138</v>
      </c>
      <c r="H19" s="46">
        <v>4</v>
      </c>
      <c r="I19" s="22" t="s">
        <v>117</v>
      </c>
    </row>
    <row r="20" spans="1:9" ht="45.6" x14ac:dyDescent="0.3">
      <c r="A20" s="12">
        <v>9</v>
      </c>
      <c r="B20" s="12" t="s">
        <v>60</v>
      </c>
      <c r="C20" s="13" t="s">
        <v>139</v>
      </c>
      <c r="D20" s="14" t="s">
        <v>113</v>
      </c>
      <c r="E20" s="15" t="s">
        <v>140</v>
      </c>
      <c r="F20" s="16" t="s">
        <v>115</v>
      </c>
      <c r="G20" s="17" t="s">
        <v>116</v>
      </c>
      <c r="H20" s="46">
        <v>6</v>
      </c>
      <c r="I20" s="18" t="s">
        <v>117</v>
      </c>
    </row>
    <row r="21" spans="1:9" ht="57" x14ac:dyDescent="0.3">
      <c r="A21" s="12">
        <v>10</v>
      </c>
      <c r="B21" s="12" t="s">
        <v>141</v>
      </c>
      <c r="C21" s="19" t="s">
        <v>142</v>
      </c>
      <c r="D21" s="14" t="s">
        <v>113</v>
      </c>
      <c r="E21" s="20" t="s">
        <v>143</v>
      </c>
      <c r="F21" s="16" t="s">
        <v>115</v>
      </c>
      <c r="G21" s="21" t="s">
        <v>144</v>
      </c>
      <c r="H21" s="46">
        <v>7</v>
      </c>
      <c r="I21" s="22" t="s">
        <v>117</v>
      </c>
    </row>
    <row r="22" spans="1:9" ht="57" x14ac:dyDescent="0.3">
      <c r="A22" s="12">
        <v>11</v>
      </c>
      <c r="B22" s="12" t="s">
        <v>37</v>
      </c>
      <c r="C22" s="13" t="s">
        <v>145</v>
      </c>
      <c r="D22" s="14" t="s">
        <v>113</v>
      </c>
      <c r="E22" s="15" t="s">
        <v>146</v>
      </c>
      <c r="F22" s="24" t="s">
        <v>147</v>
      </c>
      <c r="G22" s="17" t="s">
        <v>144</v>
      </c>
      <c r="H22" s="46">
        <v>3</v>
      </c>
      <c r="I22" s="18" t="s">
        <v>117</v>
      </c>
    </row>
    <row r="23" spans="1:9" ht="57" x14ac:dyDescent="0.3">
      <c r="A23" s="12">
        <v>12</v>
      </c>
      <c r="B23" s="12" t="s">
        <v>41</v>
      </c>
      <c r="C23" s="19" t="s">
        <v>148</v>
      </c>
      <c r="D23" s="14" t="s">
        <v>113</v>
      </c>
      <c r="E23" s="20" t="s">
        <v>149</v>
      </c>
      <c r="F23" s="16" t="s">
        <v>115</v>
      </c>
      <c r="G23" s="21" t="s">
        <v>150</v>
      </c>
      <c r="H23" s="46">
        <v>10</v>
      </c>
      <c r="I23" s="22" t="s">
        <v>117</v>
      </c>
    </row>
    <row r="24" spans="1:9" ht="68.400000000000006" x14ac:dyDescent="0.3">
      <c r="A24" s="12">
        <v>13</v>
      </c>
      <c r="B24" s="12" t="s">
        <v>151</v>
      </c>
      <c r="C24" s="13" t="s">
        <v>152</v>
      </c>
      <c r="D24" s="14" t="s">
        <v>113</v>
      </c>
      <c r="E24" s="15" t="s">
        <v>153</v>
      </c>
      <c r="F24" s="24" t="s">
        <v>147</v>
      </c>
      <c r="G24" s="17" t="s">
        <v>154</v>
      </c>
      <c r="H24" s="46">
        <v>5</v>
      </c>
      <c r="I24" s="25" t="s">
        <v>209</v>
      </c>
    </row>
    <row r="25" spans="1:9" ht="57" x14ac:dyDescent="0.3">
      <c r="A25" s="12">
        <v>14</v>
      </c>
      <c r="B25" s="12" t="s">
        <v>155</v>
      </c>
      <c r="C25" s="19" t="s">
        <v>156</v>
      </c>
      <c r="D25" s="14" t="s">
        <v>113</v>
      </c>
      <c r="E25" s="20" t="s">
        <v>157</v>
      </c>
      <c r="F25" s="24" t="s">
        <v>147</v>
      </c>
      <c r="G25" s="21" t="s">
        <v>158</v>
      </c>
      <c r="H25" s="46">
        <v>4</v>
      </c>
      <c r="I25" s="25" t="s">
        <v>208</v>
      </c>
    </row>
    <row r="26" spans="1:9" ht="57" x14ac:dyDescent="0.3">
      <c r="A26" s="12">
        <v>15</v>
      </c>
      <c r="B26" s="12" t="s">
        <v>159</v>
      </c>
      <c r="C26" s="13" t="s">
        <v>160</v>
      </c>
      <c r="D26" s="14" t="s">
        <v>113</v>
      </c>
      <c r="E26" s="15" t="s">
        <v>161</v>
      </c>
      <c r="F26" s="16" t="s">
        <v>115</v>
      </c>
      <c r="G26" s="17" t="s">
        <v>162</v>
      </c>
      <c r="H26" s="46">
        <v>6</v>
      </c>
      <c r="I26" s="25" t="s">
        <v>206</v>
      </c>
    </row>
    <row r="27" spans="1:9" ht="57" x14ac:dyDescent="0.3">
      <c r="A27" s="12">
        <v>16</v>
      </c>
      <c r="B27" s="12" t="s">
        <v>163</v>
      </c>
      <c r="C27" s="19" t="s">
        <v>164</v>
      </c>
      <c r="D27" s="14" t="s">
        <v>113</v>
      </c>
      <c r="E27" s="20" t="s">
        <v>165</v>
      </c>
      <c r="F27" s="24" t="s">
        <v>147</v>
      </c>
      <c r="G27" s="21" t="s">
        <v>135</v>
      </c>
      <c r="H27" s="46">
        <v>8</v>
      </c>
      <c r="I27" s="25" t="s">
        <v>207</v>
      </c>
    </row>
    <row r="28" spans="1:9" ht="14.4" customHeight="1" x14ac:dyDescent="0.3">
      <c r="A28" s="145" t="s">
        <v>166</v>
      </c>
      <c r="B28" s="146"/>
      <c r="C28" s="146"/>
      <c r="D28" s="146"/>
      <c r="E28" s="146"/>
      <c r="F28" s="146"/>
      <c r="G28" s="146"/>
      <c r="H28" s="146"/>
      <c r="I28" s="146"/>
    </row>
    <row r="29" spans="1:9" ht="45.6" x14ac:dyDescent="0.3">
      <c r="A29" s="12">
        <v>17</v>
      </c>
      <c r="B29" s="12" t="s">
        <v>167</v>
      </c>
      <c r="C29" s="26" t="s">
        <v>168</v>
      </c>
      <c r="D29" s="27" t="s">
        <v>169</v>
      </c>
      <c r="E29" s="28" t="s">
        <v>170</v>
      </c>
      <c r="F29" s="16" t="s">
        <v>115</v>
      </c>
      <c r="G29" s="29" t="s">
        <v>144</v>
      </c>
      <c r="H29" s="46">
        <v>6</v>
      </c>
      <c r="I29" s="30" t="s">
        <v>117</v>
      </c>
    </row>
    <row r="30" spans="1:9" ht="79.8" x14ac:dyDescent="0.3">
      <c r="A30" s="12">
        <v>18</v>
      </c>
      <c r="B30" s="12" t="s">
        <v>171</v>
      </c>
      <c r="C30" s="31" t="s">
        <v>172</v>
      </c>
      <c r="D30" s="27" t="s">
        <v>169</v>
      </c>
      <c r="E30" s="32" t="s">
        <v>173</v>
      </c>
      <c r="F30" s="16" t="s">
        <v>115</v>
      </c>
      <c r="G30" s="33" t="s">
        <v>174</v>
      </c>
      <c r="H30" s="46">
        <v>10</v>
      </c>
      <c r="I30" s="34" t="s">
        <v>117</v>
      </c>
    </row>
    <row r="31" spans="1:9" ht="68.400000000000006" x14ac:dyDescent="0.3">
      <c r="A31" s="12">
        <v>19</v>
      </c>
      <c r="B31" s="12" t="s">
        <v>175</v>
      </c>
      <c r="C31" s="26" t="s">
        <v>176</v>
      </c>
      <c r="D31" s="27" t="s">
        <v>169</v>
      </c>
      <c r="E31" s="28" t="s">
        <v>177</v>
      </c>
      <c r="F31" s="16" t="s">
        <v>115</v>
      </c>
      <c r="G31" s="29" t="s">
        <v>178</v>
      </c>
      <c r="H31" s="46">
        <v>4</v>
      </c>
      <c r="I31" s="30" t="s">
        <v>117</v>
      </c>
    </row>
    <row r="32" spans="1:9" ht="57" x14ac:dyDescent="0.3">
      <c r="A32" s="12">
        <v>20</v>
      </c>
      <c r="B32" s="12" t="s">
        <v>179</v>
      </c>
      <c r="C32" s="31" t="s">
        <v>180</v>
      </c>
      <c r="D32" s="27" t="s">
        <v>169</v>
      </c>
      <c r="E32" s="32" t="s">
        <v>181</v>
      </c>
      <c r="F32" s="24" t="s">
        <v>147</v>
      </c>
      <c r="G32" s="33" t="s">
        <v>178</v>
      </c>
      <c r="H32" s="46">
        <v>4</v>
      </c>
      <c r="I32" s="34" t="s">
        <v>117</v>
      </c>
    </row>
    <row r="33" spans="1:9" ht="79.8" x14ac:dyDescent="0.3">
      <c r="A33" s="12">
        <v>21</v>
      </c>
      <c r="B33" s="12" t="s">
        <v>57</v>
      </c>
      <c r="C33" s="26" t="s">
        <v>182</v>
      </c>
      <c r="D33" s="27" t="s">
        <v>169</v>
      </c>
      <c r="E33" s="28" t="s">
        <v>183</v>
      </c>
      <c r="F33" s="24" t="s">
        <v>147</v>
      </c>
      <c r="G33" s="29" t="s">
        <v>162</v>
      </c>
      <c r="H33" s="46">
        <v>6</v>
      </c>
      <c r="I33" s="30" t="s">
        <v>117</v>
      </c>
    </row>
    <row r="34" spans="1:9" ht="68.400000000000006" x14ac:dyDescent="0.3">
      <c r="A34" s="12">
        <v>22</v>
      </c>
      <c r="B34" s="12" t="s">
        <v>184</v>
      </c>
      <c r="C34" s="31" t="s">
        <v>185</v>
      </c>
      <c r="D34" s="27" t="s">
        <v>169</v>
      </c>
      <c r="E34" s="32" t="s">
        <v>186</v>
      </c>
      <c r="F34" s="16" t="s">
        <v>115</v>
      </c>
      <c r="G34" s="33" t="s">
        <v>150</v>
      </c>
      <c r="H34" s="46">
        <v>5</v>
      </c>
      <c r="I34" s="34" t="s">
        <v>117</v>
      </c>
    </row>
    <row r="35" spans="1:9" ht="14.4" customHeight="1" x14ac:dyDescent="0.3">
      <c r="A35" s="147" t="s">
        <v>187</v>
      </c>
      <c r="B35" s="148"/>
      <c r="C35" s="148"/>
      <c r="D35" s="148"/>
      <c r="E35" s="148"/>
      <c r="F35" s="148"/>
      <c r="G35" s="148"/>
      <c r="H35" s="148"/>
      <c r="I35" s="148"/>
    </row>
    <row r="36" spans="1:9" ht="57" x14ac:dyDescent="0.3">
      <c r="A36" s="12">
        <v>23</v>
      </c>
      <c r="B36" s="12" t="s">
        <v>188</v>
      </c>
      <c r="C36" s="35" t="s">
        <v>189</v>
      </c>
      <c r="D36" s="36" t="s">
        <v>190</v>
      </c>
      <c r="E36" s="37" t="s">
        <v>191</v>
      </c>
      <c r="F36" s="16" t="s">
        <v>115</v>
      </c>
      <c r="G36" s="38" t="s">
        <v>116</v>
      </c>
      <c r="H36" s="39">
        <v>0</v>
      </c>
      <c r="I36" s="40" t="s">
        <v>117</v>
      </c>
    </row>
    <row r="37" spans="1:9" ht="57" x14ac:dyDescent="0.3">
      <c r="A37" s="12">
        <v>24</v>
      </c>
      <c r="B37" s="12" t="s">
        <v>192</v>
      </c>
      <c r="C37" s="41" t="s">
        <v>193</v>
      </c>
      <c r="D37" s="36" t="s">
        <v>190</v>
      </c>
      <c r="E37" s="42" t="s">
        <v>194</v>
      </c>
      <c r="F37" s="16" t="s">
        <v>115</v>
      </c>
      <c r="G37" s="43" t="s">
        <v>178</v>
      </c>
      <c r="H37" s="44">
        <v>0</v>
      </c>
      <c r="I37" s="45" t="s">
        <v>117</v>
      </c>
    </row>
    <row r="38" spans="1:9" ht="45.6" x14ac:dyDescent="0.3">
      <c r="A38" s="12">
        <v>25</v>
      </c>
      <c r="B38" s="12" t="s">
        <v>195</v>
      </c>
      <c r="C38" s="35" t="s">
        <v>196</v>
      </c>
      <c r="D38" s="36" t="s">
        <v>190</v>
      </c>
      <c r="E38" s="37" t="s">
        <v>197</v>
      </c>
      <c r="F38" s="16" t="s">
        <v>115</v>
      </c>
      <c r="G38" s="38" t="s">
        <v>144</v>
      </c>
      <c r="H38" s="39">
        <v>0</v>
      </c>
      <c r="I38" s="40" t="s">
        <v>117</v>
      </c>
    </row>
    <row r="40" spans="1:9" x14ac:dyDescent="0.3">
      <c r="A40" s="159" t="s">
        <v>198</v>
      </c>
      <c r="B40" s="159"/>
      <c r="C40" s="159"/>
      <c r="D40" s="159"/>
      <c r="E40" s="159"/>
      <c r="F40" s="159"/>
      <c r="G40" s="159"/>
      <c r="H40" s="159"/>
      <c r="I40" s="159"/>
    </row>
    <row r="41" spans="1:9" x14ac:dyDescent="0.3">
      <c r="A41" s="160" t="s">
        <v>211</v>
      </c>
      <c r="B41" s="160"/>
      <c r="C41" s="143" t="s">
        <v>199</v>
      </c>
      <c r="D41" s="143"/>
      <c r="E41" s="143"/>
      <c r="F41" s="143"/>
      <c r="G41" s="143"/>
      <c r="H41" s="143"/>
      <c r="I41" s="143"/>
    </row>
    <row r="42" spans="1:9" x14ac:dyDescent="0.3">
      <c r="A42" s="156" t="s">
        <v>212</v>
      </c>
      <c r="B42" s="156"/>
      <c r="C42" s="143" t="s">
        <v>200</v>
      </c>
      <c r="D42" s="143"/>
      <c r="E42" s="143"/>
      <c r="F42" s="143"/>
      <c r="G42" s="143"/>
      <c r="H42" s="143"/>
      <c r="I42" s="143"/>
    </row>
    <row r="43" spans="1:9" x14ac:dyDescent="0.3">
      <c r="A43" s="157" t="s">
        <v>117</v>
      </c>
      <c r="B43" s="157"/>
      <c r="C43" s="143" t="s">
        <v>201</v>
      </c>
      <c r="D43" s="143"/>
      <c r="E43" s="143"/>
      <c r="F43" s="143"/>
      <c r="G43" s="143"/>
      <c r="H43" s="143"/>
      <c r="I43" s="143"/>
    </row>
    <row r="44" spans="1:9" x14ac:dyDescent="0.3">
      <c r="A44" s="158" t="s">
        <v>115</v>
      </c>
      <c r="B44" s="158"/>
      <c r="C44" s="143" t="s">
        <v>202</v>
      </c>
      <c r="D44" s="143"/>
      <c r="E44" s="143"/>
      <c r="F44" s="143"/>
      <c r="G44" s="143"/>
      <c r="H44" s="143"/>
      <c r="I44" s="143"/>
    </row>
    <row r="45" spans="1:9" x14ac:dyDescent="0.3">
      <c r="A45" s="142" t="s">
        <v>147</v>
      </c>
      <c r="B45" s="142"/>
      <c r="C45" s="143" t="s">
        <v>203</v>
      </c>
      <c r="D45" s="143"/>
      <c r="E45" s="143"/>
      <c r="F45" s="143"/>
      <c r="G45" s="143"/>
      <c r="H45" s="143"/>
      <c r="I45" s="143"/>
    </row>
  </sheetData>
  <mergeCells count="29">
    <mergeCell ref="G3:I3"/>
    <mergeCell ref="G2:I2"/>
    <mergeCell ref="A40:I40"/>
    <mergeCell ref="A41:B41"/>
    <mergeCell ref="C41:I41"/>
    <mergeCell ref="B2:E2"/>
    <mergeCell ref="B3:E3"/>
    <mergeCell ref="A42:B42"/>
    <mergeCell ref="C42:I42"/>
    <mergeCell ref="A43:B43"/>
    <mergeCell ref="C43:I43"/>
    <mergeCell ref="A44:B44"/>
    <mergeCell ref="C44:I44"/>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6"/>
  <sheetViews>
    <sheetView topLeftCell="C14" zoomScale="70" zoomScaleNormal="70" workbookViewId="0">
      <selection activeCell="F3" sqref="F3:G15"/>
    </sheetView>
  </sheetViews>
  <sheetFormatPr baseColWidth="10" defaultRowHeight="14.4" x14ac:dyDescent="0.3"/>
  <cols>
    <col min="2" max="2" width="56.6640625" customWidth="1"/>
    <col min="3" max="3" width="60.5546875" customWidth="1"/>
  </cols>
  <sheetData>
    <row r="1" spans="1:7" ht="17.399999999999999" x14ac:dyDescent="0.3">
      <c r="A1" s="161" t="s">
        <v>0</v>
      </c>
      <c r="B1" s="161"/>
      <c r="C1" s="161"/>
      <c r="D1" s="161"/>
      <c r="E1" s="161"/>
      <c r="F1" s="161"/>
      <c r="G1" s="161"/>
    </row>
    <row r="2" spans="1:7" ht="26.4" x14ac:dyDescent="0.3">
      <c r="A2" s="1" t="s">
        <v>1</v>
      </c>
      <c r="B2" s="1" t="s">
        <v>2</v>
      </c>
      <c r="C2" s="1" t="s">
        <v>3</v>
      </c>
      <c r="D2" s="1" t="s">
        <v>4</v>
      </c>
      <c r="E2" s="1" t="s">
        <v>5</v>
      </c>
      <c r="F2" s="1" t="s">
        <v>216</v>
      </c>
      <c r="G2" s="1" t="s">
        <v>6</v>
      </c>
    </row>
    <row r="3" spans="1:7" ht="66.599999999999994" customHeight="1" x14ac:dyDescent="0.3">
      <c r="A3" s="2" t="s">
        <v>7</v>
      </c>
      <c r="B3" s="3" t="s">
        <v>8</v>
      </c>
      <c r="C3" s="3" t="s">
        <v>9</v>
      </c>
      <c r="D3" s="2" t="s">
        <v>10</v>
      </c>
      <c r="E3" s="2" t="s">
        <v>11</v>
      </c>
      <c r="F3" s="46">
        <v>8</v>
      </c>
      <c r="G3" s="80" t="s">
        <v>12</v>
      </c>
    </row>
    <row r="4" spans="1:7" ht="63.6" customHeight="1" x14ac:dyDescent="0.3">
      <c r="A4" s="4" t="s">
        <v>13</v>
      </c>
      <c r="B4" s="5" t="s">
        <v>14</v>
      </c>
      <c r="C4" s="47" t="s">
        <v>218</v>
      </c>
      <c r="D4" s="4" t="s">
        <v>15</v>
      </c>
      <c r="E4" s="4" t="s">
        <v>11</v>
      </c>
      <c r="F4" s="46">
        <v>7</v>
      </c>
      <c r="G4" s="80" t="s">
        <v>31</v>
      </c>
    </row>
    <row r="5" spans="1:7" ht="79.8" customHeight="1" x14ac:dyDescent="0.3">
      <c r="A5" s="2" t="s">
        <v>16</v>
      </c>
      <c r="B5" s="3" t="s">
        <v>17</v>
      </c>
      <c r="C5" s="48" t="s">
        <v>217</v>
      </c>
      <c r="D5" s="2" t="s">
        <v>18</v>
      </c>
      <c r="E5" s="2" t="s">
        <v>11</v>
      </c>
      <c r="F5" s="46">
        <v>4</v>
      </c>
      <c r="G5" s="80" t="s">
        <v>31</v>
      </c>
    </row>
    <row r="6" spans="1:7" ht="72" customHeight="1" x14ac:dyDescent="0.3">
      <c r="A6" s="4" t="s">
        <v>19</v>
      </c>
      <c r="B6" s="5" t="s">
        <v>20</v>
      </c>
      <c r="C6" s="47" t="s">
        <v>219</v>
      </c>
      <c r="D6" s="4" t="s">
        <v>21</v>
      </c>
      <c r="E6" s="4" t="s">
        <v>11</v>
      </c>
      <c r="F6" s="46">
        <v>5</v>
      </c>
      <c r="G6" s="80" t="s">
        <v>48</v>
      </c>
    </row>
    <row r="7" spans="1:7" ht="79.2" customHeight="1" x14ac:dyDescent="0.3">
      <c r="A7" s="2" t="s">
        <v>22</v>
      </c>
      <c r="B7" s="3" t="s">
        <v>23</v>
      </c>
      <c r="C7" s="48" t="s">
        <v>220</v>
      </c>
      <c r="D7" s="2" t="s">
        <v>24</v>
      </c>
      <c r="E7" s="2" t="s">
        <v>11</v>
      </c>
      <c r="F7" s="46">
        <v>4</v>
      </c>
      <c r="G7" s="80" t="s">
        <v>72</v>
      </c>
    </row>
    <row r="8" spans="1:7" ht="62.4" customHeight="1" x14ac:dyDescent="0.3">
      <c r="A8" s="4" t="s">
        <v>25</v>
      </c>
      <c r="B8" s="5" t="s">
        <v>26</v>
      </c>
      <c r="C8" s="47" t="s">
        <v>221</v>
      </c>
      <c r="D8" s="4" t="s">
        <v>27</v>
      </c>
      <c r="E8" s="4" t="s">
        <v>11</v>
      </c>
      <c r="F8" s="46">
        <v>2</v>
      </c>
      <c r="G8" s="80" t="s">
        <v>72</v>
      </c>
    </row>
    <row r="9" spans="1:7" ht="72" customHeight="1" x14ac:dyDescent="0.3">
      <c r="A9" s="2" t="s">
        <v>28</v>
      </c>
      <c r="B9" s="3" t="s">
        <v>29</v>
      </c>
      <c r="C9" s="48" t="s">
        <v>222</v>
      </c>
      <c r="D9" s="2" t="s">
        <v>30</v>
      </c>
      <c r="E9" s="2" t="s">
        <v>11</v>
      </c>
      <c r="F9" s="46">
        <v>5</v>
      </c>
      <c r="G9" s="81" t="s">
        <v>257</v>
      </c>
    </row>
    <row r="10" spans="1:7" ht="59.4" customHeight="1" x14ac:dyDescent="0.3">
      <c r="A10" s="4" t="s">
        <v>32</v>
      </c>
      <c r="B10" s="5" t="s">
        <v>33</v>
      </c>
      <c r="C10" s="47" t="s">
        <v>223</v>
      </c>
      <c r="D10" s="4" t="s">
        <v>34</v>
      </c>
      <c r="E10" s="4" t="s">
        <v>11</v>
      </c>
      <c r="F10" s="46">
        <v>3</v>
      </c>
      <c r="G10" s="81" t="s">
        <v>257</v>
      </c>
    </row>
    <row r="11" spans="1:7" ht="65.400000000000006" customHeight="1" x14ac:dyDescent="0.3">
      <c r="A11" s="2" t="s">
        <v>35</v>
      </c>
      <c r="B11" s="3" t="s">
        <v>36</v>
      </c>
      <c r="C11" s="48" t="s">
        <v>224</v>
      </c>
      <c r="D11" s="2" t="s">
        <v>37</v>
      </c>
      <c r="E11" s="2" t="s">
        <v>38</v>
      </c>
      <c r="F11" s="46">
        <v>3</v>
      </c>
      <c r="G11" s="80" t="s">
        <v>48</v>
      </c>
    </row>
    <row r="12" spans="1:7" ht="68.400000000000006" customHeight="1" x14ac:dyDescent="0.3">
      <c r="A12" s="4" t="s">
        <v>39</v>
      </c>
      <c r="B12" s="5" t="s">
        <v>40</v>
      </c>
      <c r="C12" s="47" t="s">
        <v>225</v>
      </c>
      <c r="D12" s="4" t="s">
        <v>41</v>
      </c>
      <c r="E12" s="4" t="s">
        <v>11</v>
      </c>
      <c r="F12" s="46">
        <v>3</v>
      </c>
      <c r="G12" s="80" t="s">
        <v>48</v>
      </c>
    </row>
    <row r="13" spans="1:7" ht="64.2" customHeight="1" x14ac:dyDescent="0.3">
      <c r="A13" s="2" t="s">
        <v>42</v>
      </c>
      <c r="B13" s="3" t="s">
        <v>43</v>
      </c>
      <c r="C13" s="48" t="s">
        <v>226</v>
      </c>
      <c r="D13" s="2" t="s">
        <v>151</v>
      </c>
      <c r="E13" s="2" t="s">
        <v>38</v>
      </c>
      <c r="F13" s="46">
        <v>4</v>
      </c>
      <c r="G13" s="81" t="s">
        <v>258</v>
      </c>
    </row>
    <row r="14" spans="1:7" ht="74.400000000000006" customHeight="1" x14ac:dyDescent="0.3">
      <c r="A14" s="4" t="s">
        <v>44</v>
      </c>
      <c r="B14" s="5" t="s">
        <v>45</v>
      </c>
      <c r="C14" s="47" t="s">
        <v>227</v>
      </c>
      <c r="D14" s="4" t="s">
        <v>163</v>
      </c>
      <c r="E14" s="4" t="s">
        <v>38</v>
      </c>
      <c r="F14" s="46">
        <v>2</v>
      </c>
      <c r="G14" s="81" t="s">
        <v>258</v>
      </c>
    </row>
    <row r="15" spans="1:7" ht="81.599999999999994" customHeight="1" x14ac:dyDescent="0.3">
      <c r="A15" s="2" t="s">
        <v>46</v>
      </c>
      <c r="B15" s="3" t="s">
        <v>47</v>
      </c>
      <c r="C15" s="48" t="s">
        <v>228</v>
      </c>
      <c r="D15" s="2" t="s">
        <v>155</v>
      </c>
      <c r="E15" s="2" t="s">
        <v>38</v>
      </c>
      <c r="F15" s="46">
        <v>4</v>
      </c>
      <c r="G15" s="6" t="s">
        <v>72</v>
      </c>
    </row>
    <row r="16" spans="1:7" x14ac:dyDescent="0.3">
      <c r="A16" s="162" t="s">
        <v>49</v>
      </c>
      <c r="B16" s="162"/>
      <c r="C16" s="162"/>
      <c r="D16" s="162"/>
      <c r="E16" s="162"/>
      <c r="F16" s="7">
        <f>SUM(F3:F15)</f>
        <v>54</v>
      </c>
      <c r="G16" s="8"/>
    </row>
  </sheetData>
  <mergeCells count="2">
    <mergeCell ref="A1:G1"/>
    <mergeCell ref="A16:E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18"/>
  <sheetViews>
    <sheetView topLeftCell="C12" zoomScale="85" zoomScaleNormal="85" workbookViewId="0">
      <selection activeCell="H6" sqref="H6"/>
    </sheetView>
  </sheetViews>
  <sheetFormatPr baseColWidth="10" defaultRowHeight="14.4" x14ac:dyDescent="0.3"/>
  <cols>
    <col min="2" max="2" width="56.5546875" customWidth="1"/>
    <col min="3" max="3" width="55.77734375" customWidth="1"/>
  </cols>
  <sheetData>
    <row r="1" spans="1:8" ht="17.399999999999999" customHeight="1" x14ac:dyDescent="0.3">
      <c r="A1" s="133" t="s">
        <v>50</v>
      </c>
      <c r="B1" s="133"/>
      <c r="C1" s="133"/>
      <c r="D1" s="133"/>
      <c r="E1" s="133"/>
      <c r="F1" s="133"/>
      <c r="G1" s="133"/>
      <c r="H1" s="133"/>
    </row>
    <row r="2" spans="1:8" ht="26.4" x14ac:dyDescent="0.3">
      <c r="A2" s="1" t="s">
        <v>1</v>
      </c>
      <c r="B2" s="1" t="s">
        <v>51</v>
      </c>
      <c r="C2" s="1" t="s">
        <v>52</v>
      </c>
      <c r="D2" s="1" t="s">
        <v>4</v>
      </c>
      <c r="E2" s="1" t="s">
        <v>5</v>
      </c>
      <c r="F2" s="71" t="s">
        <v>216</v>
      </c>
      <c r="G2" s="1" t="s">
        <v>6</v>
      </c>
      <c r="H2" s="71" t="s">
        <v>270</v>
      </c>
    </row>
    <row r="3" spans="1:8" ht="90.6" customHeight="1" x14ac:dyDescent="0.3">
      <c r="A3" s="49" t="s">
        <v>53</v>
      </c>
      <c r="B3" s="72" t="s">
        <v>229</v>
      </c>
      <c r="C3" s="72" t="s">
        <v>271</v>
      </c>
      <c r="D3" s="50" t="s">
        <v>54</v>
      </c>
      <c r="E3" s="9" t="s">
        <v>11</v>
      </c>
      <c r="F3" s="82">
        <v>4</v>
      </c>
      <c r="G3" s="83" t="s">
        <v>55</v>
      </c>
      <c r="H3" s="62" t="s">
        <v>105</v>
      </c>
    </row>
    <row r="4" spans="1:8" ht="90" customHeight="1" x14ac:dyDescent="0.3">
      <c r="A4" s="49" t="s">
        <v>56</v>
      </c>
      <c r="B4" s="73" t="s">
        <v>230</v>
      </c>
      <c r="C4" s="73" t="s">
        <v>272</v>
      </c>
      <c r="D4" s="51" t="s">
        <v>248</v>
      </c>
      <c r="E4" s="4" t="s">
        <v>11</v>
      </c>
      <c r="F4" s="82">
        <v>6</v>
      </c>
      <c r="G4" s="84" t="s">
        <v>55</v>
      </c>
      <c r="H4" s="63" t="s">
        <v>261</v>
      </c>
    </row>
    <row r="5" spans="1:8" ht="78" customHeight="1" x14ac:dyDescent="0.3">
      <c r="A5" s="49" t="s">
        <v>59</v>
      </c>
      <c r="B5" s="72" t="s">
        <v>231</v>
      </c>
      <c r="C5" s="72" t="s">
        <v>273</v>
      </c>
      <c r="D5" s="50" t="s">
        <v>57</v>
      </c>
      <c r="E5" s="9" t="s">
        <v>11</v>
      </c>
      <c r="F5" s="82">
        <v>5</v>
      </c>
      <c r="G5" s="85" t="s">
        <v>255</v>
      </c>
      <c r="H5" s="64" t="s">
        <v>262</v>
      </c>
    </row>
    <row r="6" spans="1:8" ht="67.2" customHeight="1" x14ac:dyDescent="0.3">
      <c r="A6" s="49" t="s">
        <v>61</v>
      </c>
      <c r="B6" s="73" t="s">
        <v>232</v>
      </c>
      <c r="C6" s="73" t="s">
        <v>274</v>
      </c>
      <c r="D6" s="51" t="s">
        <v>249</v>
      </c>
      <c r="E6" s="4" t="s">
        <v>11</v>
      </c>
      <c r="F6" s="82">
        <v>5</v>
      </c>
      <c r="G6" s="85" t="s">
        <v>255</v>
      </c>
      <c r="H6" s="64" t="s">
        <v>262</v>
      </c>
    </row>
    <row r="7" spans="1:8" ht="73.8" customHeight="1" x14ac:dyDescent="0.3">
      <c r="A7" s="49" t="s">
        <v>64</v>
      </c>
      <c r="B7" s="72" t="s">
        <v>233</v>
      </c>
      <c r="C7" s="72" t="s">
        <v>275</v>
      </c>
      <c r="D7" s="50" t="s">
        <v>69</v>
      </c>
      <c r="E7" s="9" t="s">
        <v>11</v>
      </c>
      <c r="F7" s="82">
        <v>11</v>
      </c>
      <c r="G7" s="86" t="s">
        <v>58</v>
      </c>
      <c r="H7" s="65" t="s">
        <v>263</v>
      </c>
    </row>
    <row r="8" spans="1:8" ht="67.8" customHeight="1" x14ac:dyDescent="0.3">
      <c r="A8" s="49" t="s">
        <v>65</v>
      </c>
      <c r="B8" s="73" t="s">
        <v>234</v>
      </c>
      <c r="C8" s="73" t="s">
        <v>276</v>
      </c>
      <c r="D8" s="51" t="s">
        <v>62</v>
      </c>
      <c r="E8" s="4" t="s">
        <v>11</v>
      </c>
      <c r="F8" s="82">
        <v>11</v>
      </c>
      <c r="G8" s="87" t="s">
        <v>63</v>
      </c>
      <c r="H8" s="66" t="s">
        <v>264</v>
      </c>
    </row>
    <row r="9" spans="1:8" ht="88.8" customHeight="1" x14ac:dyDescent="0.3">
      <c r="A9" s="49" t="s">
        <v>66</v>
      </c>
      <c r="B9" s="72" t="s">
        <v>235</v>
      </c>
      <c r="C9" s="72" t="s">
        <v>277</v>
      </c>
      <c r="D9" s="50" t="s">
        <v>250</v>
      </c>
      <c r="E9" s="9" t="s">
        <v>11</v>
      </c>
      <c r="F9" s="82">
        <v>4</v>
      </c>
      <c r="G9" s="88" t="s">
        <v>12</v>
      </c>
      <c r="H9" s="67" t="s">
        <v>265</v>
      </c>
    </row>
    <row r="10" spans="1:8" ht="79.2" customHeight="1" x14ac:dyDescent="0.3">
      <c r="A10" s="49" t="s">
        <v>68</v>
      </c>
      <c r="B10" s="73" t="s">
        <v>236</v>
      </c>
      <c r="C10" s="73" t="s">
        <v>278</v>
      </c>
      <c r="D10" s="51" t="s">
        <v>251</v>
      </c>
      <c r="E10" s="4" t="s">
        <v>11</v>
      </c>
      <c r="F10" s="82">
        <v>6</v>
      </c>
      <c r="G10" s="89" t="s">
        <v>256</v>
      </c>
      <c r="H10" s="68" t="s">
        <v>266</v>
      </c>
    </row>
    <row r="11" spans="1:8" ht="66" customHeight="1" x14ac:dyDescent="0.3">
      <c r="A11" s="49" t="s">
        <v>70</v>
      </c>
      <c r="B11" s="72" t="s">
        <v>237</v>
      </c>
      <c r="C11" s="72" t="s">
        <v>279</v>
      </c>
      <c r="D11" s="50" t="s">
        <v>252</v>
      </c>
      <c r="E11" s="9" t="s">
        <v>11</v>
      </c>
      <c r="F11" s="82">
        <v>5</v>
      </c>
      <c r="G11" s="89" t="s">
        <v>256</v>
      </c>
      <c r="H11" s="68" t="s">
        <v>266</v>
      </c>
    </row>
    <row r="12" spans="1:8" ht="80.400000000000006" customHeight="1" x14ac:dyDescent="0.3">
      <c r="A12" s="49" t="s">
        <v>71</v>
      </c>
      <c r="B12" s="73" t="s">
        <v>238</v>
      </c>
      <c r="C12" s="73" t="s">
        <v>280</v>
      </c>
      <c r="D12" s="51" t="s">
        <v>67</v>
      </c>
      <c r="E12" s="9" t="s">
        <v>11</v>
      </c>
      <c r="F12" s="82">
        <v>3</v>
      </c>
      <c r="G12" s="90" t="s">
        <v>257</v>
      </c>
      <c r="H12" s="69" t="s">
        <v>267</v>
      </c>
    </row>
    <row r="13" spans="1:8" ht="83.4" customHeight="1" x14ac:dyDescent="0.3">
      <c r="A13" s="49" t="s">
        <v>73</v>
      </c>
      <c r="B13" s="72" t="s">
        <v>239</v>
      </c>
      <c r="C13" s="72" t="s">
        <v>281</v>
      </c>
      <c r="D13" s="50" t="s">
        <v>253</v>
      </c>
      <c r="E13" s="9" t="s">
        <v>11</v>
      </c>
      <c r="F13" s="82">
        <v>5</v>
      </c>
      <c r="G13" s="90" t="s">
        <v>258</v>
      </c>
      <c r="H13" s="69" t="s">
        <v>267</v>
      </c>
    </row>
    <row r="14" spans="1:8" ht="70.8" customHeight="1" x14ac:dyDescent="0.3">
      <c r="A14" s="49" t="s">
        <v>240</v>
      </c>
      <c r="B14" s="73" t="s">
        <v>241</v>
      </c>
      <c r="C14" s="73" t="s">
        <v>282</v>
      </c>
      <c r="D14" s="51" t="s">
        <v>254</v>
      </c>
      <c r="E14" s="4" t="s">
        <v>11</v>
      </c>
      <c r="F14" s="82">
        <v>4</v>
      </c>
      <c r="G14" s="91" t="s">
        <v>259</v>
      </c>
      <c r="H14" s="70" t="s">
        <v>268</v>
      </c>
    </row>
    <row r="15" spans="1:8" ht="67.2" customHeight="1" x14ac:dyDescent="0.3">
      <c r="A15" s="49" t="s">
        <v>242</v>
      </c>
      <c r="B15" s="72" t="s">
        <v>243</v>
      </c>
      <c r="C15" s="72" t="s">
        <v>283</v>
      </c>
      <c r="D15" s="50" t="s">
        <v>155</v>
      </c>
      <c r="E15" s="9" t="s">
        <v>11</v>
      </c>
      <c r="F15" s="82">
        <v>2</v>
      </c>
      <c r="G15" s="91" t="s">
        <v>259</v>
      </c>
      <c r="H15" s="70" t="s">
        <v>268</v>
      </c>
    </row>
    <row r="16" spans="1:8" ht="81.599999999999994" customHeight="1" x14ac:dyDescent="0.3">
      <c r="A16" s="49" t="s">
        <v>244</v>
      </c>
      <c r="B16" s="73" t="s">
        <v>245</v>
      </c>
      <c r="C16" s="73" t="s">
        <v>284</v>
      </c>
      <c r="D16" s="51" t="s">
        <v>74</v>
      </c>
      <c r="E16" s="4" t="s">
        <v>38</v>
      </c>
      <c r="F16" s="82">
        <v>3</v>
      </c>
      <c r="G16" s="87" t="s">
        <v>259</v>
      </c>
      <c r="H16" s="66" t="s">
        <v>269</v>
      </c>
    </row>
    <row r="17" spans="1:8" ht="72" customHeight="1" x14ac:dyDescent="0.3">
      <c r="A17" s="49" t="s">
        <v>246</v>
      </c>
      <c r="B17" s="72" t="s">
        <v>247</v>
      </c>
      <c r="C17" s="72" t="s">
        <v>285</v>
      </c>
      <c r="D17" s="50" t="s">
        <v>57</v>
      </c>
      <c r="E17" s="52" t="s">
        <v>38</v>
      </c>
      <c r="F17" s="82">
        <v>2</v>
      </c>
      <c r="G17" s="87" t="s">
        <v>259</v>
      </c>
      <c r="H17" s="66" t="s">
        <v>269</v>
      </c>
    </row>
    <row r="18" spans="1:8" x14ac:dyDescent="0.3">
      <c r="A18" s="162" t="s">
        <v>75</v>
      </c>
      <c r="B18" s="162"/>
      <c r="C18" s="162"/>
      <c r="D18" s="162"/>
      <c r="E18" s="162"/>
      <c r="F18" s="7">
        <f>SUM(F3:F17)</f>
        <v>76</v>
      </c>
      <c r="G18" s="163"/>
      <c r="H18" s="164"/>
    </row>
  </sheetData>
  <mergeCells count="3">
    <mergeCell ref="A18:E18"/>
    <mergeCell ref="A1:H1"/>
    <mergeCell ref="G18:H1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47"/>
  <sheetViews>
    <sheetView tabSelected="1" zoomScale="68" zoomScaleNormal="100" workbookViewId="0">
      <selection activeCell="L5" sqref="L5"/>
    </sheetView>
  </sheetViews>
  <sheetFormatPr baseColWidth="10" defaultRowHeight="14.4" x14ac:dyDescent="0.3"/>
  <cols>
    <col min="2" max="2" width="36.109375" customWidth="1"/>
    <col min="3" max="3" width="10.33203125" customWidth="1"/>
    <col min="4" max="4" width="9.109375" customWidth="1"/>
    <col min="5" max="5" width="52.21875" customWidth="1"/>
    <col min="10" max="10" width="54.21875" customWidth="1"/>
  </cols>
  <sheetData>
    <row r="1" spans="1:10" ht="17.399999999999999" customHeight="1" x14ac:dyDescent="0.3">
      <c r="A1" s="133" t="s">
        <v>80</v>
      </c>
      <c r="B1" s="133"/>
      <c r="C1" s="133"/>
      <c r="D1" s="133"/>
      <c r="E1" s="133"/>
      <c r="F1" s="133"/>
      <c r="G1" s="133"/>
      <c r="H1" s="133"/>
      <c r="I1" s="133"/>
      <c r="J1" s="133"/>
    </row>
    <row r="2" spans="1:10" x14ac:dyDescent="0.3">
      <c r="A2" s="78" t="s">
        <v>6</v>
      </c>
      <c r="B2" s="78" t="s">
        <v>76</v>
      </c>
      <c r="C2" s="78" t="s">
        <v>77</v>
      </c>
      <c r="D2" s="78" t="s">
        <v>1</v>
      </c>
      <c r="E2" s="78" t="s">
        <v>286</v>
      </c>
      <c r="F2" s="78" t="s">
        <v>5</v>
      </c>
      <c r="G2" s="78" t="s">
        <v>260</v>
      </c>
      <c r="H2" s="78" t="s">
        <v>287</v>
      </c>
      <c r="I2" s="78" t="s">
        <v>288</v>
      </c>
      <c r="J2" s="78" t="s">
        <v>359</v>
      </c>
    </row>
    <row r="3" spans="1:10" ht="62.4" customHeight="1" x14ac:dyDescent="0.3">
      <c r="A3" s="136" t="s">
        <v>55</v>
      </c>
      <c r="B3" s="137" t="s">
        <v>360</v>
      </c>
      <c r="C3" s="92" t="s">
        <v>78</v>
      </c>
      <c r="D3" s="93" t="s">
        <v>53</v>
      </c>
      <c r="E3" s="94" t="s">
        <v>229</v>
      </c>
      <c r="F3" s="95" t="s">
        <v>11</v>
      </c>
      <c r="G3" s="96" t="s">
        <v>105</v>
      </c>
      <c r="H3" s="96" t="s">
        <v>290</v>
      </c>
      <c r="I3" s="46">
        <v>4</v>
      </c>
      <c r="J3" s="97" t="s">
        <v>334</v>
      </c>
    </row>
    <row r="4" spans="1:10" ht="53.4" customHeight="1" x14ac:dyDescent="0.3">
      <c r="A4" s="136"/>
      <c r="B4" s="136"/>
      <c r="C4" s="92" t="s">
        <v>78</v>
      </c>
      <c r="D4" s="93" t="s">
        <v>56</v>
      </c>
      <c r="E4" s="94" t="s">
        <v>230</v>
      </c>
      <c r="F4" s="95" t="s">
        <v>11</v>
      </c>
      <c r="G4" s="96" t="s">
        <v>105</v>
      </c>
      <c r="H4" s="96" t="s">
        <v>290</v>
      </c>
      <c r="I4" s="46">
        <v>6</v>
      </c>
      <c r="J4" s="97" t="s">
        <v>372</v>
      </c>
    </row>
    <row r="5" spans="1:10" ht="63" customHeight="1" x14ac:dyDescent="0.3">
      <c r="A5" s="134" t="s">
        <v>255</v>
      </c>
      <c r="B5" s="135" t="s">
        <v>361</v>
      </c>
      <c r="C5" s="92" t="s">
        <v>78</v>
      </c>
      <c r="D5" s="93" t="s">
        <v>59</v>
      </c>
      <c r="E5" s="94" t="s">
        <v>231</v>
      </c>
      <c r="F5" s="95" t="s">
        <v>11</v>
      </c>
      <c r="G5" s="98" t="s">
        <v>261</v>
      </c>
      <c r="H5" s="98" t="s">
        <v>292</v>
      </c>
      <c r="I5" s="46">
        <v>5</v>
      </c>
      <c r="J5" s="165" t="s">
        <v>374</v>
      </c>
    </row>
    <row r="6" spans="1:10" ht="61.8" customHeight="1" x14ac:dyDescent="0.3">
      <c r="A6" s="134"/>
      <c r="B6" s="134"/>
      <c r="C6" s="92" t="s">
        <v>78</v>
      </c>
      <c r="D6" s="93" t="s">
        <v>61</v>
      </c>
      <c r="E6" s="94" t="s">
        <v>232</v>
      </c>
      <c r="F6" s="95" t="s">
        <v>11</v>
      </c>
      <c r="G6" s="98" t="s">
        <v>261</v>
      </c>
      <c r="H6" s="98" t="s">
        <v>292</v>
      </c>
      <c r="I6" s="46">
        <v>5</v>
      </c>
      <c r="J6" s="165" t="s">
        <v>373</v>
      </c>
    </row>
    <row r="7" spans="1:10" ht="64.8" customHeight="1" x14ac:dyDescent="0.3">
      <c r="A7" s="99" t="s">
        <v>58</v>
      </c>
      <c r="B7" s="100" t="s">
        <v>362</v>
      </c>
      <c r="C7" s="92" t="s">
        <v>78</v>
      </c>
      <c r="D7" s="93" t="s">
        <v>64</v>
      </c>
      <c r="E7" s="94" t="s">
        <v>233</v>
      </c>
      <c r="F7" s="95" t="s">
        <v>11</v>
      </c>
      <c r="G7" s="101" t="s">
        <v>262</v>
      </c>
      <c r="H7" s="101" t="s">
        <v>294</v>
      </c>
      <c r="I7" s="46">
        <v>11</v>
      </c>
      <c r="J7" s="97" t="s">
        <v>335</v>
      </c>
    </row>
    <row r="8" spans="1:10" ht="79.2" customHeight="1" x14ac:dyDescent="0.3">
      <c r="A8" s="102" t="s">
        <v>63</v>
      </c>
      <c r="B8" s="103" t="s">
        <v>363</v>
      </c>
      <c r="C8" s="92" t="s">
        <v>78</v>
      </c>
      <c r="D8" s="93" t="s">
        <v>65</v>
      </c>
      <c r="E8" s="94" t="s">
        <v>234</v>
      </c>
      <c r="F8" s="95" t="s">
        <v>11</v>
      </c>
      <c r="G8" s="104" t="s">
        <v>263</v>
      </c>
      <c r="H8" s="104" t="s">
        <v>296</v>
      </c>
      <c r="I8" s="46">
        <v>11</v>
      </c>
      <c r="J8" s="97" t="s">
        <v>336</v>
      </c>
    </row>
    <row r="9" spans="1:10" ht="49.2" customHeight="1" x14ac:dyDescent="0.3">
      <c r="A9" s="129" t="s">
        <v>12</v>
      </c>
      <c r="B9" s="130" t="s">
        <v>364</v>
      </c>
      <c r="C9" s="92" t="s">
        <v>78</v>
      </c>
      <c r="D9" s="93" t="s">
        <v>66</v>
      </c>
      <c r="E9" s="94" t="s">
        <v>235</v>
      </c>
      <c r="F9" s="95" t="s">
        <v>11</v>
      </c>
      <c r="G9" s="105" t="s">
        <v>264</v>
      </c>
      <c r="H9" s="105" t="s">
        <v>298</v>
      </c>
      <c r="I9" s="46">
        <v>4</v>
      </c>
      <c r="J9" s="97" t="s">
        <v>337</v>
      </c>
    </row>
    <row r="10" spans="1:10" ht="46.8" customHeight="1" x14ac:dyDescent="0.3">
      <c r="A10" s="129"/>
      <c r="B10" s="129"/>
      <c r="C10" s="106" t="s">
        <v>79</v>
      </c>
      <c r="D10" s="93" t="s">
        <v>7</v>
      </c>
      <c r="E10" s="107" t="s">
        <v>331</v>
      </c>
      <c r="F10" s="95" t="s">
        <v>11</v>
      </c>
      <c r="G10" s="105" t="s">
        <v>264</v>
      </c>
      <c r="H10" s="105" t="s">
        <v>298</v>
      </c>
      <c r="I10" s="46">
        <v>8</v>
      </c>
      <c r="J10" s="97" t="s">
        <v>338</v>
      </c>
    </row>
    <row r="11" spans="1:10" ht="40.799999999999997" customHeight="1" x14ac:dyDescent="0.3">
      <c r="A11" s="138" t="s">
        <v>31</v>
      </c>
      <c r="B11" s="139" t="s">
        <v>365</v>
      </c>
      <c r="C11" s="106" t="s">
        <v>79</v>
      </c>
      <c r="D11" s="93" t="s">
        <v>13</v>
      </c>
      <c r="E11" s="107" t="s">
        <v>332</v>
      </c>
      <c r="F11" s="95" t="s">
        <v>11</v>
      </c>
      <c r="G11" s="108" t="s">
        <v>265</v>
      </c>
      <c r="H11" s="108" t="s">
        <v>300</v>
      </c>
      <c r="I11" s="46">
        <v>7</v>
      </c>
      <c r="J11" s="97" t="s">
        <v>340</v>
      </c>
    </row>
    <row r="12" spans="1:10" ht="44.4" customHeight="1" x14ac:dyDescent="0.3">
      <c r="A12" s="138"/>
      <c r="B12" s="138"/>
      <c r="C12" s="106" t="s">
        <v>79</v>
      </c>
      <c r="D12" s="93" t="s">
        <v>16</v>
      </c>
      <c r="E12" s="107" t="s">
        <v>17</v>
      </c>
      <c r="F12" s="95" t="s">
        <v>11</v>
      </c>
      <c r="G12" s="108" t="s">
        <v>265</v>
      </c>
      <c r="H12" s="108" t="s">
        <v>300</v>
      </c>
      <c r="I12" s="46">
        <v>4</v>
      </c>
      <c r="J12" s="97" t="s">
        <v>341</v>
      </c>
    </row>
    <row r="13" spans="1:10" ht="51.6" customHeight="1" x14ac:dyDescent="0.3">
      <c r="A13" s="134" t="s">
        <v>48</v>
      </c>
      <c r="B13" s="135" t="s">
        <v>366</v>
      </c>
      <c r="C13" s="106" t="s">
        <v>79</v>
      </c>
      <c r="D13" s="93" t="s">
        <v>35</v>
      </c>
      <c r="E13" s="107" t="s">
        <v>36</v>
      </c>
      <c r="F13" s="109" t="s">
        <v>38</v>
      </c>
      <c r="G13" s="98" t="s">
        <v>302</v>
      </c>
      <c r="H13" s="98" t="s">
        <v>303</v>
      </c>
      <c r="I13" s="46">
        <v>3</v>
      </c>
      <c r="J13" s="97" t="s">
        <v>339</v>
      </c>
    </row>
    <row r="14" spans="1:10" ht="36" customHeight="1" x14ac:dyDescent="0.3">
      <c r="A14" s="134"/>
      <c r="B14" s="134"/>
      <c r="C14" s="106" t="s">
        <v>79</v>
      </c>
      <c r="D14" s="93" t="s">
        <v>19</v>
      </c>
      <c r="E14" s="107" t="s">
        <v>20</v>
      </c>
      <c r="F14" s="95" t="s">
        <v>11</v>
      </c>
      <c r="G14" s="98" t="s">
        <v>302</v>
      </c>
      <c r="H14" s="98" t="s">
        <v>303</v>
      </c>
      <c r="I14" s="46">
        <v>5</v>
      </c>
      <c r="J14" s="97" t="s">
        <v>342</v>
      </c>
    </row>
    <row r="15" spans="1:10" ht="55.8" customHeight="1" x14ac:dyDescent="0.3">
      <c r="A15" s="134"/>
      <c r="B15" s="134"/>
      <c r="C15" s="106" t="s">
        <v>79</v>
      </c>
      <c r="D15" s="93" t="s">
        <v>39</v>
      </c>
      <c r="E15" s="107" t="s">
        <v>40</v>
      </c>
      <c r="F15" s="95" t="s">
        <v>11</v>
      </c>
      <c r="G15" s="98" t="s">
        <v>302</v>
      </c>
      <c r="H15" s="98" t="s">
        <v>303</v>
      </c>
      <c r="I15" s="46">
        <v>3</v>
      </c>
      <c r="J15" s="97" t="s">
        <v>345</v>
      </c>
    </row>
    <row r="16" spans="1:10" ht="46.8" customHeight="1" x14ac:dyDescent="0.3">
      <c r="A16" s="140" t="s">
        <v>72</v>
      </c>
      <c r="B16" s="141" t="s">
        <v>367</v>
      </c>
      <c r="C16" s="106" t="s">
        <v>79</v>
      </c>
      <c r="D16" s="93" t="s">
        <v>22</v>
      </c>
      <c r="E16" s="107" t="s">
        <v>23</v>
      </c>
      <c r="F16" s="95" t="s">
        <v>11</v>
      </c>
      <c r="G16" s="110" t="s">
        <v>305</v>
      </c>
      <c r="H16" s="110" t="s">
        <v>306</v>
      </c>
      <c r="I16" s="46">
        <v>4</v>
      </c>
      <c r="J16" s="97" t="s">
        <v>343</v>
      </c>
    </row>
    <row r="17" spans="1:10" ht="55.2" customHeight="1" x14ac:dyDescent="0.3">
      <c r="A17" s="140"/>
      <c r="B17" s="140"/>
      <c r="C17" s="106" t="s">
        <v>79</v>
      </c>
      <c r="D17" s="93" t="s">
        <v>25</v>
      </c>
      <c r="E17" s="107" t="s">
        <v>26</v>
      </c>
      <c r="F17" s="95" t="s">
        <v>11</v>
      </c>
      <c r="G17" s="110" t="s">
        <v>305</v>
      </c>
      <c r="H17" s="110" t="s">
        <v>306</v>
      </c>
      <c r="I17" s="46">
        <v>2</v>
      </c>
      <c r="J17" s="97" t="s">
        <v>344</v>
      </c>
    </row>
    <row r="18" spans="1:10" ht="60.6" customHeight="1" x14ac:dyDescent="0.3">
      <c r="A18" s="140"/>
      <c r="B18" s="140"/>
      <c r="C18" s="106" t="s">
        <v>79</v>
      </c>
      <c r="D18" s="93" t="s">
        <v>46</v>
      </c>
      <c r="E18" s="107" t="s">
        <v>47</v>
      </c>
      <c r="F18" s="109" t="s">
        <v>38</v>
      </c>
      <c r="G18" s="110" t="s">
        <v>305</v>
      </c>
      <c r="H18" s="110" t="s">
        <v>306</v>
      </c>
      <c r="I18" s="46">
        <v>4</v>
      </c>
      <c r="J18" s="97" t="s">
        <v>356</v>
      </c>
    </row>
    <row r="19" spans="1:10" ht="57" customHeight="1" x14ac:dyDescent="0.3">
      <c r="A19" s="131" t="s">
        <v>256</v>
      </c>
      <c r="B19" s="132" t="s">
        <v>368</v>
      </c>
      <c r="C19" s="92" t="s">
        <v>78</v>
      </c>
      <c r="D19" s="93" t="s">
        <v>68</v>
      </c>
      <c r="E19" s="94" t="s">
        <v>236</v>
      </c>
      <c r="F19" s="95" t="s">
        <v>11</v>
      </c>
      <c r="G19" s="111" t="s">
        <v>266</v>
      </c>
      <c r="H19" s="111" t="s">
        <v>308</v>
      </c>
      <c r="I19" s="46">
        <v>6</v>
      </c>
      <c r="J19" s="97" t="s">
        <v>346</v>
      </c>
    </row>
    <row r="20" spans="1:10" ht="51" customHeight="1" x14ac:dyDescent="0.3">
      <c r="A20" s="131"/>
      <c r="B20" s="131"/>
      <c r="C20" s="92" t="s">
        <v>78</v>
      </c>
      <c r="D20" s="93" t="s">
        <v>70</v>
      </c>
      <c r="E20" s="94" t="s">
        <v>237</v>
      </c>
      <c r="F20" s="95" t="s">
        <v>11</v>
      </c>
      <c r="G20" s="111" t="s">
        <v>266</v>
      </c>
      <c r="H20" s="111" t="s">
        <v>308</v>
      </c>
      <c r="I20" s="46">
        <v>5</v>
      </c>
      <c r="J20" s="97" t="s">
        <v>347</v>
      </c>
    </row>
    <row r="21" spans="1:10" ht="55.8" customHeight="1" x14ac:dyDescent="0.3">
      <c r="A21" s="125" t="s">
        <v>257</v>
      </c>
      <c r="B21" s="126" t="s">
        <v>369</v>
      </c>
      <c r="C21" s="106" t="s">
        <v>79</v>
      </c>
      <c r="D21" s="93" t="s">
        <v>32</v>
      </c>
      <c r="E21" s="107" t="s">
        <v>33</v>
      </c>
      <c r="F21" s="95" t="s">
        <v>11</v>
      </c>
      <c r="G21" s="112" t="s">
        <v>267</v>
      </c>
      <c r="H21" s="112" t="s">
        <v>310</v>
      </c>
      <c r="I21" s="46">
        <v>3</v>
      </c>
      <c r="J21" s="97" t="s">
        <v>349</v>
      </c>
    </row>
    <row r="22" spans="1:10" ht="69" customHeight="1" x14ac:dyDescent="0.3">
      <c r="A22" s="125"/>
      <c r="B22" s="125"/>
      <c r="C22" s="106" t="s">
        <v>79</v>
      </c>
      <c r="D22" s="93" t="s">
        <v>28</v>
      </c>
      <c r="E22" s="107" t="s">
        <v>29</v>
      </c>
      <c r="F22" s="95" t="s">
        <v>11</v>
      </c>
      <c r="G22" s="112" t="s">
        <v>267</v>
      </c>
      <c r="H22" s="112" t="s">
        <v>310</v>
      </c>
      <c r="I22" s="46">
        <v>5</v>
      </c>
      <c r="J22" s="97" t="s">
        <v>348</v>
      </c>
    </row>
    <row r="23" spans="1:10" ht="57" customHeight="1" x14ac:dyDescent="0.3">
      <c r="A23" s="125"/>
      <c r="B23" s="125"/>
      <c r="C23" s="92" t="s">
        <v>78</v>
      </c>
      <c r="D23" s="93" t="s">
        <v>71</v>
      </c>
      <c r="E23" s="94" t="s">
        <v>238</v>
      </c>
      <c r="F23" s="95" t="s">
        <v>11</v>
      </c>
      <c r="G23" s="112" t="s">
        <v>267</v>
      </c>
      <c r="H23" s="112" t="s">
        <v>310</v>
      </c>
      <c r="I23" s="46">
        <v>3</v>
      </c>
      <c r="J23" s="97" t="s">
        <v>350</v>
      </c>
    </row>
    <row r="24" spans="1:10" ht="60.6" customHeight="1" x14ac:dyDescent="0.3">
      <c r="A24" s="127" t="s">
        <v>258</v>
      </c>
      <c r="B24" s="128" t="s">
        <v>370</v>
      </c>
      <c r="C24" s="92" t="s">
        <v>78</v>
      </c>
      <c r="D24" s="93" t="s">
        <v>73</v>
      </c>
      <c r="E24" s="94" t="s">
        <v>239</v>
      </c>
      <c r="F24" s="95" t="s">
        <v>11</v>
      </c>
      <c r="G24" s="113" t="s">
        <v>268</v>
      </c>
      <c r="H24" s="113" t="s">
        <v>312</v>
      </c>
      <c r="I24" s="46">
        <v>5</v>
      </c>
      <c r="J24" s="97" t="s">
        <v>351</v>
      </c>
    </row>
    <row r="25" spans="1:10" ht="61.8" customHeight="1" x14ac:dyDescent="0.3">
      <c r="A25" s="127"/>
      <c r="B25" s="127"/>
      <c r="C25" s="106" t="s">
        <v>79</v>
      </c>
      <c r="D25" s="93" t="s">
        <v>42</v>
      </c>
      <c r="E25" s="107" t="s">
        <v>43</v>
      </c>
      <c r="F25" s="109" t="s">
        <v>38</v>
      </c>
      <c r="G25" s="113" t="s">
        <v>268</v>
      </c>
      <c r="H25" s="113" t="s">
        <v>312</v>
      </c>
      <c r="I25" s="46">
        <v>4</v>
      </c>
      <c r="J25" s="97" t="s">
        <v>352</v>
      </c>
    </row>
    <row r="26" spans="1:10" ht="60" customHeight="1" x14ac:dyDescent="0.3">
      <c r="A26" s="127"/>
      <c r="B26" s="127"/>
      <c r="C26" s="106" t="s">
        <v>79</v>
      </c>
      <c r="D26" s="93" t="s">
        <v>44</v>
      </c>
      <c r="E26" s="107" t="s">
        <v>333</v>
      </c>
      <c r="F26" s="109" t="s">
        <v>38</v>
      </c>
      <c r="G26" s="113" t="s">
        <v>268</v>
      </c>
      <c r="H26" s="113" t="s">
        <v>312</v>
      </c>
      <c r="I26" s="46">
        <v>2</v>
      </c>
      <c r="J26" s="97" t="s">
        <v>353</v>
      </c>
    </row>
    <row r="27" spans="1:10" ht="51" customHeight="1" x14ac:dyDescent="0.3">
      <c r="A27" s="129" t="s">
        <v>259</v>
      </c>
      <c r="B27" s="130" t="s">
        <v>371</v>
      </c>
      <c r="C27" s="92" t="s">
        <v>78</v>
      </c>
      <c r="D27" s="93" t="s">
        <v>240</v>
      </c>
      <c r="E27" s="94" t="s">
        <v>241</v>
      </c>
      <c r="F27" s="95" t="s">
        <v>11</v>
      </c>
      <c r="G27" s="105" t="s">
        <v>269</v>
      </c>
      <c r="H27" s="105" t="s">
        <v>314</v>
      </c>
      <c r="I27" s="46">
        <v>4</v>
      </c>
      <c r="J27" s="97" t="s">
        <v>354</v>
      </c>
    </row>
    <row r="28" spans="1:10" ht="53.4" customHeight="1" x14ac:dyDescent="0.3">
      <c r="A28" s="129"/>
      <c r="B28" s="129"/>
      <c r="C28" s="92" t="s">
        <v>78</v>
      </c>
      <c r="D28" s="93" t="s">
        <v>242</v>
      </c>
      <c r="E28" s="94" t="s">
        <v>243</v>
      </c>
      <c r="F28" s="95" t="s">
        <v>11</v>
      </c>
      <c r="G28" s="105" t="s">
        <v>269</v>
      </c>
      <c r="H28" s="105" t="s">
        <v>314</v>
      </c>
      <c r="I28" s="46">
        <v>2</v>
      </c>
      <c r="J28" s="97" t="s">
        <v>355</v>
      </c>
    </row>
    <row r="29" spans="1:10" ht="60.6" customHeight="1" x14ac:dyDescent="0.3">
      <c r="A29" s="129"/>
      <c r="B29" s="129"/>
      <c r="C29" s="92" t="s">
        <v>78</v>
      </c>
      <c r="D29" s="93" t="s">
        <v>244</v>
      </c>
      <c r="E29" s="94" t="s">
        <v>245</v>
      </c>
      <c r="F29" s="95" t="s">
        <v>11</v>
      </c>
      <c r="G29" s="105" t="s">
        <v>269</v>
      </c>
      <c r="H29" s="105" t="s">
        <v>314</v>
      </c>
      <c r="I29" s="46">
        <v>3</v>
      </c>
      <c r="J29" s="97" t="s">
        <v>357</v>
      </c>
    </row>
    <row r="30" spans="1:10" ht="72.599999999999994" customHeight="1" x14ac:dyDescent="0.3">
      <c r="A30" s="129"/>
      <c r="B30" s="129"/>
      <c r="C30" s="92" t="s">
        <v>78</v>
      </c>
      <c r="D30" s="93" t="s">
        <v>246</v>
      </c>
      <c r="E30" s="94" t="s">
        <v>247</v>
      </c>
      <c r="F30" s="109" t="s">
        <v>38</v>
      </c>
      <c r="G30" s="105" t="s">
        <v>269</v>
      </c>
      <c r="H30" s="105" t="s">
        <v>314</v>
      </c>
      <c r="I30" s="46">
        <v>2</v>
      </c>
      <c r="J30" s="97" t="s">
        <v>358</v>
      </c>
    </row>
    <row r="31" spans="1:10" ht="16.8" x14ac:dyDescent="0.3">
      <c r="A31" s="123" t="s">
        <v>315</v>
      </c>
      <c r="B31" s="123"/>
      <c r="C31" s="123"/>
      <c r="D31" s="123"/>
      <c r="E31" s="123"/>
      <c r="F31" s="123"/>
      <c r="G31" s="123"/>
      <c r="H31" s="123"/>
      <c r="I31" s="76">
        <f>SUM(I3:I30)</f>
        <v>130</v>
      </c>
      <c r="J31" s="79"/>
    </row>
    <row r="34" spans="1:10" x14ac:dyDescent="0.3">
      <c r="A34" s="123" t="s">
        <v>316</v>
      </c>
      <c r="B34" s="123"/>
      <c r="C34" s="123"/>
      <c r="D34" s="123"/>
      <c r="E34" s="123"/>
      <c r="F34" s="123"/>
      <c r="G34" s="123"/>
      <c r="H34" s="123"/>
      <c r="I34" s="123"/>
      <c r="J34" s="123"/>
    </row>
    <row r="35" spans="1:10" x14ac:dyDescent="0.3">
      <c r="A35" s="77" t="s">
        <v>6</v>
      </c>
      <c r="B35" s="77" t="s">
        <v>260</v>
      </c>
      <c r="C35" s="77" t="s">
        <v>287</v>
      </c>
      <c r="D35" s="77" t="s">
        <v>317</v>
      </c>
      <c r="E35" s="77" t="s">
        <v>318</v>
      </c>
      <c r="F35" s="77"/>
      <c r="G35" s="77"/>
      <c r="H35" s="77"/>
      <c r="I35" s="77"/>
      <c r="J35" s="77"/>
    </row>
    <row r="36" spans="1:10" x14ac:dyDescent="0.3">
      <c r="A36" s="53" t="s">
        <v>55</v>
      </c>
      <c r="B36" s="62" t="s">
        <v>105</v>
      </c>
      <c r="C36" s="62" t="s">
        <v>290</v>
      </c>
      <c r="D36" s="53" t="s">
        <v>319</v>
      </c>
      <c r="E36" s="124" t="s">
        <v>289</v>
      </c>
      <c r="F36" s="124"/>
      <c r="G36" s="124"/>
      <c r="H36" s="124"/>
      <c r="I36" s="124"/>
      <c r="J36" s="124"/>
    </row>
    <row r="37" spans="1:10" x14ac:dyDescent="0.3">
      <c r="A37" s="54" t="s">
        <v>255</v>
      </c>
      <c r="B37" s="63" t="s">
        <v>261</v>
      </c>
      <c r="C37" s="63" t="s">
        <v>292</v>
      </c>
      <c r="D37" s="54" t="s">
        <v>320</v>
      </c>
      <c r="E37" s="120" t="s">
        <v>291</v>
      </c>
      <c r="F37" s="120"/>
      <c r="G37" s="120"/>
      <c r="H37" s="120"/>
      <c r="I37" s="120"/>
      <c r="J37" s="120"/>
    </row>
    <row r="38" spans="1:10" x14ac:dyDescent="0.3">
      <c r="A38" s="55" t="s">
        <v>58</v>
      </c>
      <c r="B38" s="64" t="s">
        <v>262</v>
      </c>
      <c r="C38" s="64" t="s">
        <v>294</v>
      </c>
      <c r="D38" s="55" t="s">
        <v>321</v>
      </c>
      <c r="E38" s="114" t="s">
        <v>293</v>
      </c>
      <c r="F38" s="114"/>
      <c r="G38" s="114"/>
      <c r="H38" s="114"/>
      <c r="I38" s="114"/>
      <c r="J38" s="114"/>
    </row>
    <row r="39" spans="1:10" x14ac:dyDescent="0.3">
      <c r="A39" s="56" t="s">
        <v>63</v>
      </c>
      <c r="B39" s="65" t="s">
        <v>263</v>
      </c>
      <c r="C39" s="65" t="s">
        <v>296</v>
      </c>
      <c r="D39" s="56" t="s">
        <v>322</v>
      </c>
      <c r="E39" s="115" t="s">
        <v>295</v>
      </c>
      <c r="F39" s="115"/>
      <c r="G39" s="115"/>
      <c r="H39" s="115"/>
      <c r="I39" s="115"/>
      <c r="J39" s="115"/>
    </row>
    <row r="40" spans="1:10" x14ac:dyDescent="0.3">
      <c r="A40" s="57" t="s">
        <v>12</v>
      </c>
      <c r="B40" s="66" t="s">
        <v>264</v>
      </c>
      <c r="C40" s="66" t="s">
        <v>298</v>
      </c>
      <c r="D40" s="57" t="s">
        <v>323</v>
      </c>
      <c r="E40" s="118" t="s">
        <v>297</v>
      </c>
      <c r="F40" s="118"/>
      <c r="G40" s="118"/>
      <c r="H40" s="118"/>
      <c r="I40" s="118"/>
      <c r="J40" s="118"/>
    </row>
    <row r="41" spans="1:10" x14ac:dyDescent="0.3">
      <c r="A41" s="58" t="s">
        <v>31</v>
      </c>
      <c r="B41" s="67" t="s">
        <v>265</v>
      </c>
      <c r="C41" s="67" t="s">
        <v>300</v>
      </c>
      <c r="D41" s="58" t="s">
        <v>324</v>
      </c>
      <c r="E41" s="119" t="s">
        <v>299</v>
      </c>
      <c r="F41" s="119"/>
      <c r="G41" s="119"/>
      <c r="H41" s="119"/>
      <c r="I41" s="119"/>
      <c r="J41" s="119"/>
    </row>
    <row r="42" spans="1:10" x14ac:dyDescent="0.3">
      <c r="A42" s="54" t="s">
        <v>48</v>
      </c>
      <c r="B42" s="63" t="s">
        <v>302</v>
      </c>
      <c r="C42" s="63" t="s">
        <v>303</v>
      </c>
      <c r="D42" s="54" t="s">
        <v>325</v>
      </c>
      <c r="E42" s="120" t="s">
        <v>301</v>
      </c>
      <c r="F42" s="120"/>
      <c r="G42" s="120"/>
      <c r="H42" s="120"/>
      <c r="I42" s="120"/>
      <c r="J42" s="120"/>
    </row>
    <row r="43" spans="1:10" x14ac:dyDescent="0.3">
      <c r="A43" s="74" t="s">
        <v>72</v>
      </c>
      <c r="B43" s="75" t="s">
        <v>305</v>
      </c>
      <c r="C43" s="75" t="s">
        <v>306</v>
      </c>
      <c r="D43" s="74" t="s">
        <v>326</v>
      </c>
      <c r="E43" s="121" t="s">
        <v>304</v>
      </c>
      <c r="F43" s="121"/>
      <c r="G43" s="121"/>
      <c r="H43" s="121"/>
      <c r="I43" s="121"/>
      <c r="J43" s="121"/>
    </row>
    <row r="44" spans="1:10" x14ac:dyDescent="0.3">
      <c r="A44" s="59" t="s">
        <v>256</v>
      </c>
      <c r="B44" s="68" t="s">
        <v>266</v>
      </c>
      <c r="C44" s="68" t="s">
        <v>308</v>
      </c>
      <c r="D44" s="59" t="s">
        <v>327</v>
      </c>
      <c r="E44" s="122" t="s">
        <v>307</v>
      </c>
      <c r="F44" s="122"/>
      <c r="G44" s="122"/>
      <c r="H44" s="122"/>
      <c r="I44" s="122"/>
      <c r="J44" s="122"/>
    </row>
    <row r="45" spans="1:10" ht="24" x14ac:dyDescent="0.3">
      <c r="A45" s="60" t="s">
        <v>257</v>
      </c>
      <c r="B45" s="69" t="s">
        <v>267</v>
      </c>
      <c r="C45" s="69" t="s">
        <v>310</v>
      </c>
      <c r="D45" s="60" t="s">
        <v>328</v>
      </c>
      <c r="E45" s="116" t="s">
        <v>309</v>
      </c>
      <c r="F45" s="116"/>
      <c r="G45" s="116"/>
      <c r="H45" s="116"/>
      <c r="I45" s="116"/>
      <c r="J45" s="116"/>
    </row>
    <row r="46" spans="1:10" ht="24" x14ac:dyDescent="0.3">
      <c r="A46" s="61" t="s">
        <v>258</v>
      </c>
      <c r="B46" s="70" t="s">
        <v>268</v>
      </c>
      <c r="C46" s="70" t="s">
        <v>312</v>
      </c>
      <c r="D46" s="61" t="s">
        <v>329</v>
      </c>
      <c r="E46" s="117" t="s">
        <v>311</v>
      </c>
      <c r="F46" s="117"/>
      <c r="G46" s="117"/>
      <c r="H46" s="117"/>
      <c r="I46" s="117"/>
      <c r="J46" s="117"/>
    </row>
    <row r="47" spans="1:10" ht="24" x14ac:dyDescent="0.3">
      <c r="A47" s="57" t="s">
        <v>259</v>
      </c>
      <c r="B47" s="66" t="s">
        <v>269</v>
      </c>
      <c r="C47" s="66" t="s">
        <v>314</v>
      </c>
      <c r="D47" s="57" t="s">
        <v>330</v>
      </c>
      <c r="E47" s="118" t="s">
        <v>313</v>
      </c>
      <c r="F47" s="118"/>
      <c r="G47" s="118"/>
      <c r="H47" s="118"/>
      <c r="I47" s="118"/>
      <c r="J47" s="118"/>
    </row>
  </sheetData>
  <mergeCells count="35">
    <mergeCell ref="A19:A20"/>
    <mergeCell ref="B19:B20"/>
    <mergeCell ref="A1:J1"/>
    <mergeCell ref="A5:A6"/>
    <mergeCell ref="B5:B6"/>
    <mergeCell ref="A3:A4"/>
    <mergeCell ref="B3:B4"/>
    <mergeCell ref="A9:A10"/>
    <mergeCell ref="B9:B10"/>
    <mergeCell ref="A11:A12"/>
    <mergeCell ref="B11:B12"/>
    <mergeCell ref="A13:A15"/>
    <mergeCell ref="B13:B15"/>
    <mergeCell ref="A16:A18"/>
    <mergeCell ref="B16:B18"/>
    <mergeCell ref="A34:J34"/>
    <mergeCell ref="E36:J36"/>
    <mergeCell ref="E37:J37"/>
    <mergeCell ref="A21:A23"/>
    <mergeCell ref="B21:B23"/>
    <mergeCell ref="A24:A26"/>
    <mergeCell ref="B24:B26"/>
    <mergeCell ref="A27:A30"/>
    <mergeCell ref="B27:B30"/>
    <mergeCell ref="A31:H31"/>
    <mergeCell ref="E38:J38"/>
    <mergeCell ref="E39:J39"/>
    <mergeCell ref="E45:J45"/>
    <mergeCell ref="E46:J46"/>
    <mergeCell ref="E47:J47"/>
    <mergeCell ref="E40:J40"/>
    <mergeCell ref="E41:J41"/>
    <mergeCell ref="E42:J42"/>
    <mergeCell ref="E43:J43"/>
    <mergeCell ref="E44:J4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2026-04-21T14:19:18Z</dcterms:modified>
</cp:coreProperties>
</file>