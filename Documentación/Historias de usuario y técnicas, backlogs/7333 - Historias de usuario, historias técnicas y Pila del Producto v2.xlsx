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41F2C420-5C46-446D-986F-D9F2E5B9ACAD}" xr6:coauthVersionLast="47" xr6:coauthVersionMax="47" xr10:uidLastSave="{00000000-0000-0000-0000-000000000000}"/>
  <bookViews>
    <workbookView xWindow="-108" yWindow="-108" windowWidth="23256" windowHeight="12456" firstSheet="2" activeTab="3" xr2:uid="{59FC8592-1491-4403-848F-76B2B904A2E7}"/>
  </bookViews>
  <sheets>
    <sheet name="Introducción" sheetId="4" r:id="rId1"/>
    <sheet name="Historias de Usuario" sheetId="1" r:id="rId2"/>
    <sheet name="Historias Técnicas" sheetId="2" r:id="rId3"/>
    <sheet name="Product Backlog" sheetId="3" r:id="rId4"/>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1" i="3" l="1"/>
  <c r="F18" i="2"/>
  <c r="F16" i="1"/>
</calcChain>
</file>

<file path=xl/sharedStrings.xml><?xml version="1.0" encoding="utf-8"?>
<sst xmlns="http://schemas.openxmlformats.org/spreadsheetml/2006/main" count="727" uniqueCount="363">
  <si>
    <t>FIE Explorer 3D — Historias de Usuario</t>
  </si>
  <si>
    <t>ID</t>
  </si>
  <si>
    <t>Historia de Usuario</t>
  </si>
  <si>
    <t>Criterios de Aceptación</t>
  </si>
  <si>
    <t>Requisito Asociado</t>
  </si>
  <si>
    <t>Prioridad</t>
  </si>
  <si>
    <t>Sprint</t>
  </si>
  <si>
    <t>HU-01</t>
  </si>
  <si>
    <t>Como usuario (estudiante/aspirante/visitante) quiero explorar el modelo 3D exterior de todos los edificios de la FIE para orientarme en el campus desde el navegador web.</t>
  </si>
  <si>
    <t>• El modelo GLB exterior carga en ≤10 s con ≥10 Mbps.
• Se aplican 3 niveles LOD según distancia de cámara.
• El usuario puede rotar, hacer zoom y paneo sin restricciones.</t>
  </si>
  <si>
    <t>RF-01</t>
  </si>
  <si>
    <t>Alta</t>
  </si>
  <si>
    <t>Sprint 4</t>
  </si>
  <si>
    <t>HU-02</t>
  </si>
  <si>
    <t>Como usuario quiero explorar el modelo 3D interior del edificio principal de la FIE para conocer la distribución de laboratorios y servicios internamente.</t>
  </si>
  <si>
    <t>RF-02</t>
  </si>
  <si>
    <t>HU-03</t>
  </si>
  <si>
    <t>Como usuario quiero navegar libremente en el visor 3D usando controles de ratón, teclado y gestos táctiles para recorrer el entorno de forma intuitiva.</t>
  </si>
  <si>
    <t>RF-03</t>
  </si>
  <si>
    <t>HU-04</t>
  </si>
  <si>
    <t>Como usuario quiero hacer clic en hotspots interactivos del modelo 3D para consultar información detallada de laboratorios, servicios y espacios académicos.</t>
  </si>
  <si>
    <t>RF-04</t>
  </si>
  <si>
    <t>HU-05</t>
  </si>
  <si>
    <t>Como usuario quiero consultar un mini-mapa 2D sincronizado con el visor 3D para saber mi posición y orientación dentro del campus o edificio.</t>
  </si>
  <si>
    <t>RF-05</t>
  </si>
  <si>
    <t>HU-06</t>
  </si>
  <si>
    <t>Como usuario quiero pulsar un botón 'Cámara Inicial' para regresar rápidamente a la vista predeterminada del visor 3D cuando me desorienta.</t>
  </si>
  <si>
    <t>RF-06</t>
  </si>
  <si>
    <t>HU-07</t>
  </si>
  <si>
    <t>Como administrador quiero gestionar (crear, editar, desactivar, eliminar) los hotspots informativos desde un panel web sin intervención del equipo de desarrollo.</t>
  </si>
  <si>
    <t>RF-07</t>
  </si>
  <si>
    <t>Sprint 5</t>
  </si>
  <si>
    <t>HU-08</t>
  </si>
  <si>
    <t>Como administrador quiero iniciar sesión con mis credenciales institucionales ESPOCH de forma segura mediante JWT para acceder al panel de administración.</t>
  </si>
  <si>
    <t>RF-08</t>
  </si>
  <si>
    <t>HU-09</t>
  </si>
  <si>
    <t>Como usuario quiero ver una barra de progreso de carga y mensajes de error amigables para saber el estado de carga de los modelos 3D.</t>
  </si>
  <si>
    <t>RF-11</t>
  </si>
  <si>
    <t>Media</t>
  </si>
  <si>
    <t>HU-10</t>
  </si>
  <si>
    <t>Como usuario de dispositivo móvil quiero que la interfaz sea responsive y los controles táctiles funcionen correctamente para explorar el visor 3D desde mi teléfono.</t>
  </si>
  <si>
    <t>RF-12</t>
  </si>
  <si>
    <t>HU-11</t>
  </si>
  <si>
    <t>Como administrador quiero cargar nuevos archivos de modelo 3D en formato GLB al sistema para actualizar o añadir edificios al visor sin intervención del desarrollador.</t>
  </si>
  <si>
    <t>HU-12</t>
  </si>
  <si>
    <t>Como administrador quiero visualizar los logs de auditoría del panel (accesos, cambios en hotspots, errores) para monitorear la actividad del sistema.</t>
  </si>
  <si>
    <t>HU-13</t>
  </si>
  <si>
    <t>Como usuario con necesidades de accesibilidad quiero que la aplicación cumpla estándares básicos WCAG 2.1 AA para poder utilizarla con teclado y lectores de pantalla.</t>
  </si>
  <si>
    <t>Sprint 6</t>
  </si>
  <si>
    <t>TOTAL HISTORIAS DE USUARIO</t>
  </si>
  <si>
    <t>FIE Explorer 3D — Historias Técnicas</t>
  </si>
  <si>
    <t>Historia Técnica</t>
  </si>
  <si>
    <t>Descripción / Criterios Técnicos</t>
  </si>
  <si>
    <t>HT-01</t>
  </si>
  <si>
    <t>RNF-03, RNF-06</t>
  </si>
  <si>
    <t>Sprint 0</t>
  </si>
  <si>
    <t>HT-02</t>
  </si>
  <si>
    <t>RNF-05</t>
  </si>
  <si>
    <t>Sprint 2</t>
  </si>
  <si>
    <t>HT-03</t>
  </si>
  <si>
    <t>RF-09</t>
  </si>
  <si>
    <t>HT-04</t>
  </si>
  <si>
    <t>RF-10, RNF-01</t>
  </si>
  <si>
    <t>Sprint 3</t>
  </si>
  <si>
    <t>HT-05</t>
  </si>
  <si>
    <t>HT-06</t>
  </si>
  <si>
    <t>HT-07</t>
  </si>
  <si>
    <t>RNF-02, RO-01</t>
  </si>
  <si>
    <t>HT-08</t>
  </si>
  <si>
    <t>RF-01, RF-02</t>
  </si>
  <si>
    <t>HT-09</t>
  </si>
  <si>
    <t>HT-10</t>
  </si>
  <si>
    <t>Sprint 7</t>
  </si>
  <si>
    <t>HT-11</t>
  </si>
  <si>
    <t>RNF-04, RNF-06</t>
  </si>
  <si>
    <t>TOTAL HISTORIAS TÉCNICAS</t>
  </si>
  <si>
    <t>Objetivo del Sprint</t>
  </si>
  <si>
    <t>Tipo</t>
  </si>
  <si>
    <t>HT</t>
  </si>
  <si>
    <t>HU</t>
  </si>
  <si>
    <t>FIE Explorer 3D — Product Backlog</t>
  </si>
  <si>
    <t>Proyecto:</t>
  </si>
  <si>
    <t>Versión SRS:</t>
  </si>
  <si>
    <t>Desarrollador:</t>
  </si>
  <si>
    <t>Grefa Rivadeneyra Rumi Adrian — Código 7333</t>
  </si>
  <si>
    <t>Director:</t>
  </si>
  <si>
    <t>García Pumagualle Cristian Alexis</t>
  </si>
  <si>
    <t>E-mail proponente:</t>
  </si>
  <si>
    <t>rumi.grefa@espoch.edu.ec  |  0982568282</t>
  </si>
  <si>
    <t>E-mail director:</t>
  </si>
  <si>
    <t>alexis.garcia@espoch.edu.ec</t>
  </si>
  <si>
    <t>Institución:</t>
  </si>
  <si>
    <t>Escuela Superior Politécnica de Chimborazo (ESPOCH) — Carrera Software</t>
  </si>
  <si>
    <t>Facultad:</t>
  </si>
  <si>
    <t>Informática y Electrónica (FIE)</t>
  </si>
  <si>
    <t>Duración del proyecto:</t>
  </si>
  <si>
    <t>4 meses — Metodología Scrum — 8 Sprints</t>
  </si>
  <si>
    <t>Presupuesto:</t>
  </si>
  <si>
    <t>Estándar SRS:</t>
  </si>
  <si>
    <t>IEEE Std 830-1998</t>
  </si>
  <si>
    <t>Modelo de calidad:</t>
  </si>
  <si>
    <t>ISO/IEC 25010:2023 — Capacidad de Interacción</t>
  </si>
  <si>
    <t>Fecha de preparación:</t>
  </si>
  <si>
    <t>29/03/2026</t>
  </si>
  <si>
    <t>Fecha actualización:</t>
  </si>
  <si>
    <t>07/04/2026</t>
  </si>
  <si>
    <t>#</t>
  </si>
  <si>
    <t>Nombre del Requisito</t>
  </si>
  <si>
    <t>Descripción</t>
  </si>
  <si>
    <t>Casos de Uso Relacionados</t>
  </si>
  <si>
    <t>Estado en v1.1</t>
  </si>
  <si>
    <t>REQUISITOS FUNCIONALES (RF)</t>
  </si>
  <si>
    <t>Visualización 3D de áreas exteriores de la FIE</t>
  </si>
  <si>
    <t>Funcional</t>
  </si>
  <si>
    <t>El sistema debe cargar y renderizar en el navegador web los modelos fotogramétricos de todos los edificios exteriores de la FIE en formato GLB/GLTF con compresión Draco, usando Three.js/WebGL con iluminación ambiental y hemisférica. Los modelos deben ser visibles desde diferentes ángulos y distancias.</t>
  </si>
  <si>
    <t>Alta / Esencial</t>
  </si>
  <si>
    <t>CU-01</t>
  </si>
  <si>
    <t>Sin cambios</t>
  </si>
  <si>
    <t>Visualización 3D de espacios interiores del edificio principal</t>
  </si>
  <si>
    <t>El sistema debe cargar y renderizar los modelos fotogramétricos interiores del bloque principal de la FIE: pasillos, laboratorios, secretaría, decanato y áreas de servicio. Los modelos se limitan estrictamente al edificio principal y deben estar optimizados con retopología y baking de texturas.</t>
  </si>
  <si>
    <t>CU-02</t>
  </si>
  <si>
    <t>Navegación libre en el visor 3D</t>
  </si>
  <si>
    <t>El sistema debe implementar controles de navegación completos mediante Three.js OrbitControls: (a) Rotación con clic izquierdo+arrastre o deslizamiento táctil; (b) Panning con clic derecho+arrastre o dos dedos; (c) Zoom con rueda del ratón o pinch táctil. Los controles responden en tiempo real con damping suave.</t>
  </si>
  <si>
    <t>CU-04</t>
  </si>
  <si>
    <t>Sistema de hotspots informativos interactivos</t>
  </si>
  <si>
    <t>El sistema debe mostrar marcadores interactivos (hotspots) en puntos estratégicos del modelo 3D mediante coordenadas espaciales en PostGIS. Al activar un hotspot, consulta la API REST y muestra un panel con: nombre, descripción, tipo (laboratorio/servicio/oficina), equipamiento, horario e imágenes. Los hotspots se diferencian visualmente por tipo.</t>
  </si>
  <si>
    <t>CU-03</t>
  </si>
  <si>
    <t>Mini-mapa 2D sincronizado</t>
  </si>
  <si>
    <t>El sistema debe mostrar un mini-mapa 2D en overlay sobre el visor 3D que indique en tiempo real la posición y orientación de la cámara. El mini-mapa debe: actualizarse con cada frame de renderizado, permitir clic para navegar a un punto, expandirse/colapsarse según preferencia, y adaptarse al contexto (plano exterior o planta de edificio para interior).</t>
  </si>
  <si>
    <t>CU-06</t>
  </si>
  <si>
    <t>Reseteo de vista de cámara</t>
  </si>
  <si>
    <t>El sistema debe proveer un botón permanente 'Cámara Inicial' en el visor. Al pulsarlo, la cámara regresa a su posición predeterminada mediante animación TWEEN interpolada (~1.2 s, curva ease-in-out). El botón se desactiva durante la animación para evitar conflictos. El mini-mapa se actualiza al finalizar.</t>
  </si>
  <si>
    <t>CU-05</t>
  </si>
  <si>
    <t>Módulo de gestión de contenidos de hotspots (panel admin)</t>
  </si>
  <si>
    <t>El sistema debe proveer un panel de administración en /admin para: (a) Listar todos los hotspots con estado activo/inactivo; (b) Crear nuevos hotspots con coordenadas 3D (x,y,z) y datos descriptivos; (c) Editar nombre, descripción, tipo, horario, equipamiento; (d) Activar/desactivar hotspots sin eliminarlos; (e) Eliminar hotspots con confirmación. Los cambios se reflejan en el visor sin recargar la página. [NOTA: La validación de archivos se especifica en RF-15]</t>
  </si>
  <si>
    <t>CU-08</t>
  </si>
  <si>
    <t>Autenticación segura del administrador</t>
  </si>
  <si>
    <t>El sistema debe implementar autenticación basada en JWT para el módulo de administración: contraseñas hasheadas con bcrypt (factor ≥12); bloqueo tras 5 intentos fallidos en 15 min por 30 min; expiración de sesión de 8 h; cookies HttpOnly para el token; middleware de verificación en todas las rutas /admin. El formulario de login no debe revelar si el error es de correo o contraseña.</t>
  </si>
  <si>
    <t>CU-07</t>
  </si>
  <si>
    <t>Detección de compatibilidad del navegador (Feature Detection)</t>
  </si>
  <si>
    <t>El sistema debe verificar al inicio la disponibilidad de WebGL mediante Feature Detection. Si WebGL no está disponible, muestra un mensaje descriptivo con requisitos mínimos del sistema (navegador y versión recomendados) y un enlace de descarga del navegador recomendado, sin mostrar una pantalla en blanco.</t>
  </si>
  <si>
    <t>RF-10</t>
  </si>
  <si>
    <t>Optimización LOD (Level of Detail) de modelos 3D</t>
  </si>
  <si>
    <t>El sistema debe implementar técnicas LOD para todos los modelos 3D con al menos 3 niveles de resolución geométrica (alta: &lt;5 m, media: 5-20 m, baja: &gt;20 m de distancia de cámara) mediante THREE.LOD. Los modelos GLB deben aplicar compresión Draco para geometría y texturas KTX2/Basis Universal. El sistema no debe exceder 300.000 triángulos visibles simultáneamente.</t>
  </si>
  <si>
    <t>CU-01, CU-02</t>
  </si>
  <si>
    <t>Indicador de progreso de carga y manejo de errores de red</t>
  </si>
  <si>
    <t>El sistema debe mostrar una barra de progreso con porcentaje de descarga durante la carga inicial de modelos 3D. Si un modelo no carga en 30 s, debe ofrecer un modo de baja resolución. En caso de error, intenta hasta 2 recargas automáticas y notifica al usuario con mensaje amigable si todas fallan. Debe implementar gestión de Disposables en React para prevenir fugas de memoria al cambiar de escena.</t>
  </si>
  <si>
    <t>Media / Deseado</t>
  </si>
  <si>
    <t>Interfaz responsive con diseño Mobile-First</t>
  </si>
  <si>
    <t>La interfaz debe seguir el enfoque Mobile-First, adaptándose a dispositivos desde 320 px hasta monitores 4K. Los controles táctiles del visor 3D (OrbitControls con gestos) deben estar optimizados para pantallas táctiles. El mini-mapa y paneles de hotspots se reposicionan automáticamente en pantallas pequeñas mediante Media Queries CSS. El panel de administración también debe ser accesible desde móviles.</t>
  </si>
  <si>
    <t>CU-12</t>
  </si>
  <si>
    <t>RF-13</t>
  </si>
  <si>
    <t>Módulo de carga y actualización de modelos 3D GLB (panel admin)</t>
  </si>
  <si>
    <t>El sistema debe proveer en el panel de administración un módulo para que el administrador pueda subir nuevos archivos de modelo 3D en formato .glb/.gltf al servidor. Requisitos: (a) Formulario de carga con validación de extensión y tamaño (≤50 MB); (b) Barra de progreso de subida con porcentaje visible; (c) El modelo queda disponible en el visor tras publicar; (d) El sistema almacena la ruta del archivo y los metadatos del modelo en la base de datos.</t>
  </si>
  <si>
    <t>CU-09</t>
  </si>
  <si>
    <t>RF-14</t>
  </si>
  <si>
    <t>Accesibilidad básica WCAG 2.1 AA</t>
  </si>
  <si>
    <t>El sistema debe cumplir requisitos básicos de accesibilidad WCAG 2.1 nivel AA al ser una plataforma de una universidad pública (ESPOCH): (a) Controles del visor 3D navegables por teclado (Tab + Enter); (b) Contraste de colores ≥4.5:1 para texto informativo y etiquetas; (c) Etiquetas ARIA en todos los botones, paneles interactivos y controles del visor; (d) Texto alternativo en imágenes de hotspots.</t>
  </si>
  <si>
    <t>CU-03, CU-04, CU-05, CU-06</t>
  </si>
  <si>
    <t>RF-15</t>
  </si>
  <si>
    <t>Validación y restricción de archivos multimedia</t>
  </si>
  <si>
    <t>El sistema debe aplicar validaciones técnicas explícitas a todos los archivos subidos al panel admin: (a) Imágenes de hotspots: formatos permitidos JPG, PNG, WEBP; dimensiones máximas 2048×2048 px; peso máximo 2 MB; (b) Modelos 3D: solo extensiones .glb/.gltf; peso máximo 50 MB. Los mensajes de error deben ser descriptivos, mostrarse en tiempo real en el formulario y no limpiar los demás campos.</t>
  </si>
  <si>
    <t>CU-08, CU-09</t>
  </si>
  <si>
    <t>RF-16</t>
  </si>
  <si>
    <t>Visualización de logs de auditoría en panel admin</t>
  </si>
  <si>
    <t>El sistema debe proveer en el panel de administración una pantalla de consulta de logs de auditoría que permita al administrador: (a) Ver tabla paginada con columnas: timestamp, usuario, IP, acción y datos modificados; (b) Filtrar por rango de fecha y tipo de acción (login, crear/editar/eliminar hotspot, carga de modelo); (c) Exportar los registros filtrados a CSV.</t>
  </si>
  <si>
    <t>REQUISITOS NO FUNCIONALES (RNF)</t>
  </si>
  <si>
    <t>RNF-01</t>
  </si>
  <si>
    <t>Rendimiento del sistema</t>
  </si>
  <si>
    <t>No Funcional</t>
  </si>
  <si>
    <t>El sistema debe: (a) Cargar y renderizar el visor 3D exterior en &lt;10 s con conexión ≥10 Mbps; (b) Mantener ≥30 FPS en equipos mínimos (Intel Core i3 8va gen, 8 GB RAM, GPU integrada WebGL 2.0); (c) Tiempo de respuesta de la API REST ≤500 ms en el 95% de los casos; (d) Archivos GLB individuales ≤50 MB tras compresión Draco.</t>
  </si>
  <si>
    <t>RNF-02</t>
  </si>
  <si>
    <t>Seguridad del sistema</t>
  </si>
  <si>
    <t>El sistema debe implementar: (a) Autenticación JWT con bcrypt (factor ≥12); (b) Protección contra inyección SQL mediante consultas parametrizadas en PostgreSQL; (c) Validación y sanitización de entradas en backend para prevenir XSS; (d) HTTPS obligatorio en producción (TLS 1.2+); (e) Cabeceras HTTP de seguridad (CSP, X-Frame-Options, HSTS); (f) Desenfoque gaussiano de rostros y placas vehiculares en texturas exteriores; (g) Registro de actividad (logs) con timestamp, IP y usuario en el módulo admin.</t>
  </si>
  <si>
    <t>CU-07, CU-08</t>
  </si>
  <si>
    <t>RNF-03</t>
  </si>
  <si>
    <t>Fiabilidad del sistema</t>
  </si>
  <si>
    <t>El sistema debe: (a) Implementar respaldos diarios automáticos de PostgreSQL en ≥2 ubicaciones en la nube distintas; (b) Gestionar el ciclo de vida de objetos Three.js (Disposables) para prevenir fugas de memoria en sesiones &gt;30 min; (c) Congelar versiones de dependencias Node.js en package.json y realizar auditorías semanales con npm audit; (d) Usar Git/GitHub con ramas separadas para desarrollo, staging y producción.</t>
  </si>
  <si>
    <t>Todos</t>
  </si>
  <si>
    <t>RNF-04</t>
  </si>
  <si>
    <t>Disponibilidad del sistema</t>
  </si>
  <si>
    <t>El sistema debe garantizar disponibilidad mínima del 95% mensual (≤36 h de inactividad/mes). El VPS debe configurarse con Docker para facilitar restauración ante fallos. El sistema debe mostrar una página de mantenimiento informativa durante ventanas programadas de actualización. La aplicación debe ser accesible 24/7 desde cualquier navegador moderno sin instalar software adicional.</t>
  </si>
  <si>
    <t>Mantenibilidad del sistema</t>
  </si>
  <si>
    <t>El sistema debe: (a) Seguir principios de código limpio y arquitectura modular en React (componentes reutilizables) y Node.js (controladores, servicios, repositorios); (b) Documentar la API REST con Swagger/OpenAPI; (c) Mantener cobertura mínima de pruebas unitarias del 60% en módulos críticos del backend (verificada con Jest/Vitest); (d) El módulo de gestión de contenidos debe permitir actualizar hotspots sin intervención del desarrollador; (e) La arquitectura debe permitir añadir nuevos modelos 3D en el futuro sin rediseño.</t>
  </si>
  <si>
    <t>RNF-06</t>
  </si>
  <si>
    <t>Portabilidad y compatibilidad multiplataforma</t>
  </si>
  <si>
    <t>El sistema debe ser compatible y funcional en: (a) Navegadores: Chrome ≥90, Firefox ≥88, Edge ≥90, Safari ≥14 (WebGL 2.0); (b) Sistemas operativos: Windows 10/11, macOS 11+, Ubuntu 20.04+, Android 10+, iOS 14+; (c) Backend ejecutable en contenedores Docker en cualquier entorno Linux; (d) PostgreSQL/PostGIS portable entre versiones 13+; (e) Modelos GLB/GLTF conformes al estándar glTF 2.0 para interoperabilidad futura.</t>
  </si>
  <si>
    <t>OTROS REQUISITOS (RO)</t>
  </si>
  <si>
    <t>RO-01</t>
  </si>
  <si>
    <t>Privacidad y protección de datos (LOPDP)</t>
  </si>
  <si>
    <t>Restricción</t>
  </si>
  <si>
    <t>Los modelos fotogramétricos exteriores que incluyan espacios públicos transitados deben someterse a post-procesamiento para aplicar desenfoque gaussiano (Gaussian Blur) a rostros identificables y placas vehiculares en las texturas, antes de ser publicados. Esta medida garantiza el cumplimiento de la Ley Orgánica de Protección de Datos Personales (LOPDP) del Ecuador.</t>
  </si>
  <si>
    <t>RO-02</t>
  </si>
  <si>
    <t>Licencias y propiedad de software</t>
  </si>
  <si>
    <t>Todo el software utilizado debe contar con licencias compatibles con uso académico sin costo: Meshroom (GPL v3), Blender (GPL v3), React.js (MIT), Three.js (MIT), Node.js (MIT), Express (MIT), PostgreSQL (PostgreSQL License), PostGIS (GPL v2), Docker (Apache 2.0). El código fuente se depositará en el repositorio institucional de la ESPOCH según reglamentos de titulación vigentes.</t>
  </si>
  <si>
    <t>RO-03</t>
  </si>
  <si>
    <t>Permisos institucionales</t>
  </si>
  <si>
    <t>El estudiante investigador debe tramitar y obtener el salvoconducto oficial del Decanato de la FIE para captura fotográfica en todas las áreas de la facultad antes del Sprint 3. Para capturas con dron (UAV) se deben tramitar adicionalmente los permisos ante la DGAC del Ecuador, conforme a la normativa vigente para vuelos UAV en espacios urbanos.</t>
  </si>
  <si>
    <t>LEYENDA DE ESTADOS Y PRIORIDADES</t>
  </si>
  <si>
    <t>Requisito añadido en versión 1.1 para cubrir brechas detectadas en la evaluación</t>
  </si>
  <si>
    <t>Requisito existente que fue actualizado para mayor precisión o atomicidad</t>
  </si>
  <si>
    <t>Requisito original de la versión 1.0 sin modificaciones</t>
  </si>
  <si>
    <t>Requisito indispensable para el funcionamiento del sistema</t>
  </si>
  <si>
    <t>Requisito importante pero no bloqueante; incluido en el alcance</t>
  </si>
  <si>
    <t xml:space="preserve">1.1 </t>
  </si>
  <si>
    <t>USD $ 939,00</t>
  </si>
  <si>
    <t>Separado de RF-07 para mayor atomicidad</t>
  </si>
  <si>
    <t>Visualización de logs requerida por RNF-02</t>
  </si>
  <si>
    <t>Accesibilidad WCAG 2.1 AA</t>
  </si>
  <si>
    <t>RF faltante para CU-09</t>
  </si>
  <si>
    <t>MODIFICADO: Separada validación multimedia de RF-15; añadido estado activo/inactivo explícito</t>
  </si>
  <si>
    <t xml:space="preserve"> NUEVO</t>
  </si>
  <si>
    <t>MODIFICADO</t>
  </si>
  <si>
    <t>Proyecto de Titulación</t>
  </si>
  <si>
    <t>Desarrollo de una aplicación web interactiva para la exploración tridimensional de la Facultad de Informática y Electrónica mediante modelos fotogramétricos.</t>
  </si>
  <si>
    <t>Duración
(horas)</t>
  </si>
  <si>
    <t>Duración (horas)</t>
  </si>
  <si>
    <t>• Arrastrar rota la cámara; rueda hace zoom; clic derecho/dos dedos hace paneo.
• Gestos táctiles funcionan en móviles (pinch/drag).
• OrbitControls con damping suave activado.
• El overlay de ayuda desaparece tras 5 s o primer clic.</t>
  </si>
  <si>
    <t>• Transición animada desde vista exterior en ≤3 s.
• Se renderizan pasillos, laboratorios, secretaría y decanato.
• El usuario puede regresar a la vista exterior con 'Vista Exterior'.
• El mini-mapa cambia al plano interior.</t>
  </si>
  <si>
    <t>• Los hotspots se muestran como íconos flotantes animados.
• Al hacer clic, el panel muestra: nombre, descripción, tipo, equipamiento, horario e imagen.
• El panel se cierra con botón X o clic fuera.
• La cámara pausa su rotación mientras el panel está visible.</t>
  </si>
  <si>
    <t>• El mini-mapa se actualiza en tiempo real con cada movimiento de cámara.
• Al hacer clic en el mapa, la cámara navega a ese punto con animación suave.
• Es expandible/colapsable.
• Cambia de plano exterior a interior según la vista activa.</t>
  </si>
  <si>
    <t>• Animación TWEEN de ~1.2 s ease-in-out al presionar el botón.
• El botón se desactiva durante la animación y se reactiva al finalizar.
• El mini-mapa refleja la posición inicial al terminar la animación.
• Si se presiona múltiples veces, solo ejecuta una animación a la vez.</t>
  </si>
  <si>
    <t>• CRUD completo de hotspots con formulario de validación inline.
• Los cambios se reflejan en el visor público sin recargar la página.
• Se puede activar/desactivar un hotspot sin eliminarlo.
• Se registra cada acción en el log de auditoría con timestamp, IP y usuario.</t>
  </si>
  <si>
    <t>• Login con email + contraseña (bcrypt factor ≥12).
• Bloqueo tras 5 intentos fallidos en 15 min durante 30 min.
• Token JWT en cookie HttpOnly con expiración de 8 horas.
• Error genérico sin revelar cuál campo falló.</t>
  </si>
  <si>
    <t>• Barra de progreso con porcentaje visible durante la descarga del modelo.
• Si la carga supera 30 s, aparece opción de modo de baja resolución.
• Hasta 2 recargas automáticas ante error; luego mensaje amigable al usuario.
• Sin fugas de memoria al cambiar entre escena exterior e interior.</t>
  </si>
  <si>
    <t>• Diseño Mobile-First desde 320 px hasta 4K.
• Gestos táctiles activados automáticamente en touch devices.
• Panel admin accesible y usable en móviles.
• El mini-mapa se colapsa por defecto en pantallas &lt;5 pulgadas.</t>
  </si>
  <si>
    <t>• Formulario de carga que solo acepta .glb/.gltf con máx 50 MB.
• Barra de progreso de subida con porcentaje visible.
• El modelo queda disponible en el selector del visor tras publicar.
• El sistema almacena ruta y metadatos (nombre, fecha, tamaño) en la BD.</t>
  </si>
  <si>
    <t>• Tabla paginada con timestamp, usuario, IP y acción.
• Filtros funcionales por rango de fecha y tipo de acción.
• Exportación a CSV de los registros filtrados.
• Cada acción del admin genera automáticamente un registro.</t>
  </si>
  <si>
    <t>• Todos los controles del visor son alcanzables con Tab y activables con Enter/Espacio.
• Contraste de colores ≥4.5:1 en texto informativo (verificable con herramienta).
• Etiquetas ARIA presentes en botones y paneles interactivos.
• Texto alternativo en imágenes de hotspots.</t>
  </si>
  <si>
    <t>Configurar entorno de desarrollo: Docker, GitHub, CI/CD y estructura de carpetas</t>
  </si>
  <si>
    <t>Levantamiento de información espacial de la FIE: inventario de espacios y hotspots</t>
  </si>
  <si>
    <t>Diseño de arquitectura del sistema y esquema de base de datos PostGIS</t>
  </si>
  <si>
    <t>Diseño de interfaces: wireframes del visor 3D y mockups del panel admin</t>
  </si>
  <si>
    <t>Procesamiento fotogramétrico: captura de imágenes y reconstrucción 3D en Meshroom</t>
  </si>
  <si>
    <t>Optimización 3D en Blender: retopología, baking de texturas y exportación GLB con Draco + LOD</t>
  </si>
  <si>
    <t>Implementar Feature Detection WebGL y sistema de carga con progreso en Three.js</t>
  </si>
  <si>
    <t>Implementar API REST con Node.js/Express: endpoints CRUD hotspots y documentación Swagger</t>
  </si>
  <si>
    <t>Implementar autenticación JWT con bcrypt y middleware de protección de rutas admin</t>
  </si>
  <si>
    <t>Implementar todas las medidas de seguridad: HTTPS, cabeceras HTTP, sanitización y Gaussian Blur en texturas</t>
  </si>
  <si>
    <t>Implementar módulo de carga de archivos GLB y validación de archivos multimedia</t>
  </si>
  <si>
    <t>HT-12</t>
  </si>
  <si>
    <t>Ejecutar pruebas funcionales, de rendimiento y de compatibilidad multiplataforma</t>
  </si>
  <si>
    <t>HT-13</t>
  </si>
  <si>
    <t>Evaluar la capacidad de interacción según ISO/IEC 25010:2023 y pruebas de accesibilidad WCAG 2.1</t>
  </si>
  <si>
    <t>HT-14</t>
  </si>
  <si>
    <t>Desplegar aplicación en VPS de producción con Docker Compose, Nginx y backups automáticos</t>
  </si>
  <si>
    <t>HT-15</t>
  </si>
  <si>
    <t>Documentación técnica final: README, Swagger UI, guía de despliegue y documentación del SRS</t>
  </si>
  <si>
    <t>RF-04, RF-07</t>
  </si>
  <si>
    <t>RF-01, RF-02, RF-07</t>
  </si>
  <si>
    <t>RF-09, RF-11</t>
  </si>
  <si>
    <t>RNF-05, RF-07</t>
  </si>
  <si>
    <t>RF-08, RNF-02</t>
  </si>
  <si>
    <t>RF-13, RF-15</t>
  </si>
  <si>
    <t>RNF-01, RNF-06</t>
  </si>
  <si>
    <t>Sprint 1</t>
  </si>
  <si>
    <t>Sprint 8</t>
  </si>
  <si>
    <t>Sprint 9</t>
  </si>
  <si>
    <t>Sprint 10</t>
  </si>
  <si>
    <t>Sprint 11</t>
  </si>
  <si>
    <t>Fecha Inicio</t>
  </si>
  <si>
    <t>14/04/2026</t>
  </si>
  <si>
    <t>21/04/2026</t>
  </si>
  <si>
    <t>28/04/2026</t>
  </si>
  <si>
    <t>05/05/2026</t>
  </si>
  <si>
    <t>12/05/2026</t>
  </si>
  <si>
    <t>02/06/2026</t>
  </si>
  <si>
    <t>09/06/2026</t>
  </si>
  <si>
    <t>16/06/2026</t>
  </si>
  <si>
    <t>23/06/2026</t>
  </si>
  <si>
    <t>Fecha inicio</t>
  </si>
  <si>
    <t>Crear repositorio GitHub con ramas main/dev/staging. 
Configurar docker-compose.yml con servicios: react-frontend, node-backend, PostgreSQL/PostGIS. 
Crear .env con variables de entorno. Congelar dependencias en package.json.</t>
  </si>
  <si>
    <t>Realizar observación directa de los espacios de la FIE. 
Entrevistar a personal administrativo. 
Elaborar inventario de laboratorios, servicios y áreas académicas con nombres, horarios, equipamiento y coordenadas aproximadas. 
Documentar en Google Sheets/Excel.</t>
  </si>
  <si>
    <t>Elaborar diagrama de arquitectura (cliente-servidor: React, Node.js, PostgreSQL/PostGIS). 
Diseñar esquema SQL con tablas: hotspots, users, audit_logs, models. 
Habilitar extensión PostGIS. 
Crear diagrama de componentes y de secuencia para flujos críticos.</t>
  </si>
  <si>
    <t>Crear wireframes en Figma/papel para: pantalla principal del visor (exterior/interior), panel de hotspot, mini-mapa, panel de login admin y dashboard de gestión. 
Validar mockups con al menos 2 usuarios representativos.</t>
  </si>
  <si>
    <t>Realizar la captura fotográfica de todos los edificios exteriores y espacios interiores del edificio principal con solapamiento ≥60% frontal y ≥45% lateral. 
Procesar las imágenes en Meshroom (SfM/MVS) por sectores. 
Exportar nube de puntos y mallas raw.</t>
  </si>
  <si>
    <t>Importar mallas raw de Meshroom a Blender. 
Aplicar retopología para reducir polígonos. 
Aplicar baking de texturas (iluminación precocinada). 
Crear 3 niveles LOD por modelo. 
Exportar a GLB con compresión Draco y texturas KTX2/Basis Universal.</t>
  </si>
  <si>
    <t>Implementar función detectWebGL() ejecutada antes de cargar Three.js. 
Crear pantalla de error con lista de navegadores compatibles. 
Implementar GLTFLoader con gestión de progreso (onProgress). 
Implementar modo de baja resolución como fallback.</t>
  </si>
  <si>
    <t>Crear endpoints: GET/POST/PUT/DELETE /api/hotspots, GET /api/models. 
Implementar validación de datos con Joi/express-validator. 
Documentar con Swagger/OpenAPI 3.0. 
Implementar middleware de errores global. 
Tiempo de respuesta ≤500 ms.</t>
  </si>
  <si>
    <t>Implementar POST /api/auth/login con verificación bcrypt. 
Generar JWT con payload {userId, role, exp:8h}. 
Almacenar en cookie HttpOnly. 
Implementar middleware authMiddleware en todas las rutas /admin/*. 
Implementar bloqueo por intentos fallidos (5 intentos / 15 min).</t>
  </si>
  <si>
    <t>Configurar Nginx con HTTPS (TLS 1.2+). 
Añadir cabeceras: Content-Security-Policy, X-Frame-Options, HSTS, X-Content-Type-Options. 
Implementar sanitización de entradas con DOMPurify/xss en backend. 
Aplicar Gaussian Blur a rostros y placas en texturas exteriores (Blender/Python script).</t>
  </si>
  <si>
    <t>Implementar POST /api/models/upload con Multer. 
Validar extensión (.glb/.gltf) y tamaño (≤50 MB) en backend. 
Implementar validación de imágenes (JPG/PNG/WEBP, ≤2 MB) para hotspots. 
Almacenar metadatos en BD. 
Devolver progreso de subida con SSE o WebSocket.</t>
  </si>
  <si>
    <t>Ejecutar suite de pruebas Jest/Vitest con cobertura ≥60% en módulos backend. 
Medir FPS en hardware mínimo (DevTools Performance). 
Verificar tiempos de carga en Chrome, Firefox, Edge y Safari. 
Prueba en Android e iOS. Generar reporte de pruebas.</t>
  </si>
  <si>
    <t>Aplicar cuestionarios de evaluación de interacción a la muestra de 97 estudiantes (escala Likert 5 niveles). 
Validar las 8 subcaracterísticas de Capacidad de Interacción. 
Ejecutar Lighthouse/WAVE para verificar accesibilidad. 
Elaborar reporte de resultados.</t>
  </si>
  <si>
    <t>Configurar docker-compose de producción (frontend, backend, PostgreSQL, Nginx). 
Configurar backups diarios automáticos de PostgreSQL en 2 ubicaciones cloud. 
Configurar página de mantenimiento. 
Verificar disponibilidad ≥95%.</t>
  </si>
  <si>
    <t>Actualizar README con instrucciones completas de instalación, configuración y despliegue. 
Verificar que Swagger UI está publicado en /api/docs en producción. 
Generar PDF del SRS final. 
Preparar el repositorio para entrega institucional ESPOCH.</t>
  </si>
  <si>
    <t>Historia / Descripción breve</t>
  </si>
  <si>
    <t>Fecha Fin</t>
  </si>
  <si>
    <t>Horas</t>
  </si>
  <si>
    <t>Preparación: Configurar entorno Docker, repositorio GitHub con ramas, docker-compose y estructura de carpetas frontend/backend.</t>
  </si>
  <si>
    <t>13/04/2026</t>
  </si>
  <si>
    <t>Análisis: Levantamiento de espacios FIE, inventario de hotspots, entrevistas a stakeholders y definición de requisitos validada.</t>
  </si>
  <si>
    <t>20/04/2026</t>
  </si>
  <si>
    <t>Diseño: Arquitectura del sistema, esquema BD PostGIS, wireframes del visor y diseño de interfaces (mockups).</t>
  </si>
  <si>
    <t>27/04/2026</t>
  </si>
  <si>
    <t>Procesamiento 3D (Captura): Captura fotográfica con solapamiento correcto, procesamiento SfM/MVS en Meshroom, modelos raw exportados.</t>
  </si>
  <si>
    <t>04/05/2026</t>
  </si>
  <si>
    <t>Procesamiento 3D (Optimización): Retopología en Blender, baking de texturas, LOD implementado, exportación GLB con Draco ≤50 MB.</t>
  </si>
  <si>
    <t>11/05/2026</t>
  </si>
  <si>
    <t>Frontend – Visor Exterior: Renderizado exterior con Three.js, Feature Detection WebGL, indicador de progreso de carga.</t>
  </si>
  <si>
    <t>18/05/2026</t>
  </si>
  <si>
    <t>Frontend – Interior y Hotspots: Visor interior con transición animada, hotspots interactivos con panel informativo.</t>
  </si>
  <si>
    <t>19/05/2026</t>
  </si>
  <si>
    <t>25/05/2026</t>
  </si>
  <si>
    <t>Frontend – Herramientas y Responsive: Mini-mapa 2D sincronizado, reseteo de cámara, diseño Mobile-First y accesibilidad básica.</t>
  </si>
  <si>
    <t>26/05/2026</t>
  </si>
  <si>
    <t>01/06/2026</t>
  </si>
  <si>
    <t>Backend – API y Autenticación: API REST completa con Swagger, autenticación JWT con bcrypt, panel admin CRUD hotspots básico.</t>
  </si>
  <si>
    <t>08/06/2026</t>
  </si>
  <si>
    <t>Backend – Admin Avanzado y Seguridad: Carga de modelos GLB, logs de auditoría, validaciones de archivos, cabeceras HTTPS y seguridad.</t>
  </si>
  <si>
    <t>15/06/2026</t>
  </si>
  <si>
    <t>Pruebas y Validación: Pruebas funcionales, de rendimiento (FPS/carga), compatibilidad navegadores, evaluación ISO/IEC 25010:2023.</t>
  </si>
  <si>
    <t>22/06/2026</t>
  </si>
  <si>
    <t>Cierre: Despliegue VPS producción con Docker, documentación final, Swagger UI publicado y entrega del proyecto.</t>
  </si>
  <si>
    <t>26/06/2026</t>
  </si>
  <si>
    <t>TOTAL HORAS BACKLOG  (HU + HT)</t>
  </si>
  <si>
    <t>CRONOGRAMA DE SPRINTS — 07/04/2026 al 26/06/2026</t>
  </si>
  <si>
    <t>Semana</t>
  </si>
  <si>
    <t>Objetivo (resumen)</t>
  </si>
  <si>
    <t>Semana 1</t>
  </si>
  <si>
    <t>Semana 2</t>
  </si>
  <si>
    <t>Semana 3</t>
  </si>
  <si>
    <t>Semana 4</t>
  </si>
  <si>
    <t>Semana 5</t>
  </si>
  <si>
    <t>Semana 6</t>
  </si>
  <si>
    <t>Semana 7</t>
  </si>
  <si>
    <t>Semana 8</t>
  </si>
  <si>
    <t>Semana 9</t>
  </si>
  <si>
    <t>Semana 10</t>
  </si>
  <si>
    <t>Semana 11</t>
  </si>
  <si>
    <t>Semana 12</t>
  </si>
  <si>
    <t>Como usuario (estudiante/aspirante/visitante) quiero explorar el modelo 3D exterior de todos los edificios de la FIE para orientarme en el campus desde el navegador.</t>
  </si>
  <si>
    <t>Como usuario quiero explorar el modelo 3D interior del edificio principal de la FIE para conocer la distribución de laboratorios y servicios.</t>
  </si>
  <si>
    <t>Como administrador quiero visualizar los logs de auditoría del panel para monitorear accesos, cambios en hotspots y errores del sistema.</t>
  </si>
  <si>
    <t>Revisión del repositorio GitHub: verificar existencia de las 3 ramas, ejecutar 'docker-compose up' y confirmar que los 3 servicios levantan sin errores. Revisar que el .env.example está documentado y el README tiene instrucciones de instalación.</t>
  </si>
  <si>
    <t>Presentar el documento de inventario espacial con al menos 15 hotspots identificados (nombre, tipo, descripción, horario). Mostrar actas de las entrevistas o notas firmadas. El inventario debe estar validado por el director.</t>
  </si>
  <si>
    <t>Presentar el diagrama de arquitectura aprobado por el director. Ejecutar el script SQL de creación de tablas en PostgreSQL y verificar que PostGIS está habilitado con 'SELECT PostGIS_Version()'. Revisar el diagrama de secuencia del flujo de carga de un hotspot.</t>
  </si>
  <si>
    <t>Presentar los wireframes de todas las pantallas principales. Mostrar los comentarios/feedback de los usuarios que validaron los mockups. Confirmar que los mockups están alineados con la identidad visual ESPOCH (colores #1F3864).</t>
  </si>
  <si>
    <t>Mostrar las fotografías capturadas (al menos 200 para exteriores). Abrir Meshroom y mostrar el resultado del procesamiento con nube de puntos densa generada. Exportar el modelo OBJ/PLY y verificar que los edificios son reconocibles sin huecos críticos.</t>
  </si>
  <si>
    <t>Abrir los archivos GLB en el visor de Three.js (prototipo básico) y verificar: peso de cada archivo ≤50 MB, que los 3 niveles LOD son visibles al cambiar la distancia de cámara, y que el conteo de triángulos no supera 300.000 simultáneamente.</t>
  </si>
  <si>
    <t>Demo técnica: abrir la app en un navegador sin WebGL (o emularlo) y verificar el mensaje de error con enlace. Cargar un modelo GLB y verificar que la barra de progreso se actualiza en %. Simular fallo de carga y verificar los 2 reintentos automáticos.</t>
  </si>
  <si>
    <t>Demo en vivo del visor exterior: abrir la URL, cronometrar el tiempo de carga, verificar que se pueden realizar los 3 controles (rotación, zoom, paneo) y que el LOD cambia al acercar/alejar la cámara.</t>
  </si>
  <si>
    <t>Demo en vivo: cargar la aplicación y verificar la barra de progreso. Simular error de red (DevTools → Network → Offline) y confirmar el mensaje amigable y los reintentos automáticos. Revisar Memory tab de DevTools tras cambiar entre vistas varias veces.</t>
  </si>
  <si>
    <t>Demo en vivo: hacer clic en el botón 'Vista Interior', verificar la animación de transición, navegar por al menos 3 espacios interiores y confirmar que el botón 'Vista Exterior' regresa correctamente.</t>
  </si>
  <si>
    <t>Demo en vivo: realizar rotación, zoom y paneo en escritorio; repetir los mismos gestos en un dispositivo móvil físico o emulador. Confirmar que el overlay de instrucciones aparece y desaparece.</t>
  </si>
  <si>
    <t>Demo en vivo: hacer clic en al menos 3 hotspots de tipos distintos (laboratorio, oficina, servicio), verificar que el panel muestra todos los campos y que se cierra correctamente. Confirmar en móvil con toque.</t>
  </si>
  <si>
    <t>Demo en vivo: mover la cámara en el visor y observar que el indicador del mini-mapa se desplaza sincronizadamente. Hacer clic en un punto del mapa y verificar que la cámara navega hacia ese lugar. Expandir y colapsar el mapa.</t>
  </si>
  <si>
    <t>Demo en vivo: navegar hasta una posición lejana/desorientada, presionar 'Cámara Inicial', verificar la animación suave de ~1.2 s, confirmar que el botón estuvo desactivado durante la animación y que el mini-mapa actualizó.</t>
  </si>
  <si>
    <t>Demo en vivo en un dispositivo móvil real o emulador de Chrome: navegar el visor con gestos táctiles, verificar que el mini-mapa está colapsado y se puede expandir, confirmar que el panel admin es usable con el dedo.</t>
  </si>
  <si>
    <t>Abrir Swagger UI en /api/docs y verificar que todos los endpoints están documentados con ejemplos. Probar cada endpoint con Postman: GET lista de hotspots, POST nuevo hotspot con datos completos, PUT actualización, DELETE con confirmación. Verificar tiempos de respuesta con Thunder Client.</t>
  </si>
  <si>
    <t>Demo técnica: hacer login correcto y verificar en DevTools que la cookie está marcada como HttpOnly y Secure. Hacer 5 intentos fallidos y verificar el bloqueo de 30 min. Intentar acceder a /api/admin/hotspots sin token y verificar error 401.</t>
  </si>
  <si>
    <t>Demo en vivo con el administrador: crear un hotspot nuevo, editarlo, desactivarlo (verificar que desaparece del visor) y reactivarlo. Abrir la tabla de logs y confirmar que cada acción quedó registrada.</t>
  </si>
  <si>
    <t>Demo en vivo: ingresar credenciales correctas y verificar redirección al dashboard. Intentar 5 veces con contraseña incorrecta y confirmar el bloqueo. Inspeccionar con DevTools que el token está en cookie HttpOnly (no en localStorage).</t>
  </si>
  <si>
    <t>Verificar con SecurityHeaders.com que el sitio obtiene al menos grado B. Usar OWASP ZAP o Burp Community para intentar XSS básico y confirmar que las entradas están sanitizadas. Mostrar texturas exteriores con desenfoque aplicado en las zonas con personas/vehículos.</t>
  </si>
  <si>
    <t>Demo: subir un archivo GLB válido desde el panel admin y verificar barra de progreso, confirmación de éxito y que el archivo aparece en la BD. Intentar subir un .pdf y un archivo de 60 MB y verificar mensajes de error descriptivos sin limpiar el formulario.</t>
  </si>
  <si>
    <t>Demo en vivo: desde el panel admin, subir un archivo GLB de prueba, observar la barra de progreso de subida, confirmar el mensaje de éxito y verificar que el nuevo modelo aparece disponible en el visor. Intentar subir un archivo no .glb y verificar el error.</t>
  </si>
  <si>
    <t>Demo en vivo: abrir la pantalla de logs, aplicar un filtro por fecha y tipo 'editar hotspot', verificar que solo se muestran registros del tipo seleccionado, exportar a CSV y abrir el archivo para confirmar que contiene los datos correctos.</t>
  </si>
  <si>
    <t>Presentar reporte de cobertura de pruebas con porcentaje ≥60%. Mostrar captura del Profiler de Chrome con FPS ≥30 en hardware de prueba. Mostrar evidencia de prueba en al menos 3 navegadores y 2 dispositivos móviles. Listar los bugs encontrados y su estado (resuelto/pendiente).</t>
  </si>
  <si>
    <t>Presentar el reporte de evaluación con los resultados por subcaracterística ISO/IEC 25010:2023. Mostrar el score de Lighthouse Accessibility ≥80. Presentar la tabla de resultados del cuestionario con al menos 30 respuestas recibidas.</t>
  </si>
  <si>
    <t>Prueba con teclado: navegar toda la interfaz sin usar el ratón. Usar WAVE Tool o Lighthouse en Chrome DevTools para verificar contraste y etiquetas ARIA. Confirmar que cada botón tiene aria-label y las imágenes tienen alt text.</t>
  </si>
  <si>
    <t>Demo en vivo: acceder a la URL pública de la aplicación desplegada y verificar que funciona completa. Mostrar el crontab o servicio de backup configurado. Detener el servicio backend y verificar que aparece la página de mantenimiento. Mostrar el uptime del servidor.</t>
  </si>
  <si>
    <t>Abrir el README y verificar que un desarrollador nuevo puede levantar el proyecto con los comandos descritos. Acceder a /api/docs en producción y verificar Swagger UI funcionando. Mostrar el SRS en PDF generado. Confirmar que el código está en el repositorio institucional ESPOCH.</t>
  </si>
  <si>
    <t>¿Cómo se comprueba?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</si>
</sst>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Aptos Narrow"/>
      <family val="2"/>
      <scheme val="minor"/>
    </font>
    <font>
      <b/>
      <sz val="14"/>
      <color rgb="FFFFFFFF"/>
      <name val="Arial"/>
      <charset val="1"/>
    </font>
    <font>
      <b/>
      <sz val="10"/>
      <color rgb="FFFFFFFF"/>
      <name val="Arial"/>
      <charset val="1"/>
    </font>
    <font>
      <sz val="10"/>
      <color rgb="FF000000"/>
      <name val="Arial"/>
      <charset val="1"/>
    </font>
    <font>
      <sz val="9"/>
      <color rgb="FF000000"/>
      <name val="Arial"/>
      <charset val="1"/>
    </font>
    <font>
      <b/>
      <sz val="11"/>
      <color rgb="FFFFFFFF"/>
      <name val="Arial"/>
      <charset val="1"/>
    </font>
    <font>
      <b/>
      <sz val="10"/>
      <color rgb="FF000000"/>
      <name val="Arial"/>
      <charset val="1"/>
    </font>
    <font>
      <b/>
      <sz val="10"/>
      <color rgb="FF1F3864"/>
      <name val="Arial"/>
      <charset val="1"/>
    </font>
    <font>
      <b/>
      <sz val="16"/>
      <color rgb="FFFFFFFF"/>
      <name val="Arial"/>
      <charset val="1"/>
    </font>
    <font>
      <b/>
      <sz val="9"/>
      <color rgb="FF1F3864"/>
      <name val="Arial"/>
      <charset val="1"/>
    </font>
    <font>
      <b/>
      <sz val="9"/>
      <color rgb="FF276221"/>
      <name val="Arial"/>
      <charset val="1"/>
    </font>
    <font>
      <b/>
      <sz val="9"/>
      <color rgb="FFFFFFFF"/>
      <name val="Arial"/>
      <charset val="1"/>
    </font>
    <font>
      <sz val="9"/>
      <color rgb="FF2E75B6"/>
      <name val="Arial"/>
      <charset val="1"/>
    </font>
    <font>
      <sz val="9"/>
      <color rgb="FF444444"/>
      <name val="Arial"/>
      <charset val="1"/>
    </font>
    <font>
      <b/>
      <sz val="9"/>
      <color rgb="FF9C6500"/>
      <name val="Arial"/>
      <charset val="1"/>
    </font>
    <font>
      <b/>
      <sz val="9"/>
      <color rgb="FF856404"/>
      <name val="Arial"/>
      <charset val="1"/>
    </font>
    <font>
      <b/>
      <sz val="10"/>
      <color rgb="FF999999"/>
      <name val="Arial"/>
      <charset val="1"/>
    </font>
    <font>
      <b/>
      <sz val="9"/>
      <color rgb="FF444444"/>
      <name val="Arial"/>
      <charset val="1"/>
    </font>
    <font>
      <b/>
      <sz val="11"/>
      <color rgb="FF1F3864"/>
      <name val="Arial"/>
      <charset val="1"/>
    </font>
    <font>
      <sz val="9"/>
      <name val="Arial"/>
      <family val="2"/>
    </font>
    <font>
      <sz val="10"/>
      <color rgb="FF000000"/>
      <name val="Arial"/>
      <family val="2"/>
    </font>
    <font>
      <b/>
      <sz val="11"/>
      <color rgb="FF1F3864"/>
      <name val="Arial"/>
      <family val="2"/>
    </font>
    <font>
      <b/>
      <sz val="9"/>
      <color rgb="FF000000"/>
      <name val="Arial"/>
      <family val="2"/>
    </font>
    <font>
      <b/>
      <sz val="10"/>
      <color rgb="FFFFFFFF"/>
      <name val="Arial"/>
      <family val="2"/>
    </font>
    <font>
      <sz val="9"/>
      <color rgb="FF000000"/>
      <name val="Arial"/>
      <family val="2"/>
    </font>
    <font>
      <sz val="10"/>
      <color rgb="FFFFFFFF"/>
      <name val="Arial"/>
      <family val="2"/>
    </font>
    <font>
      <b/>
      <sz val="9"/>
      <color rgb="FF1F3864"/>
      <name val="Arial"/>
      <family val="2"/>
    </font>
    <font>
      <b/>
      <sz val="10"/>
      <color rgb="FF1F3864"/>
      <name val="Arial"/>
      <family val="2"/>
    </font>
    <font>
      <sz val="8"/>
      <color rgb="FF1A3A0A"/>
      <name val="Arial"/>
      <family val="2"/>
    </font>
    <font>
      <b/>
      <sz val="9"/>
      <color rgb="FF276221"/>
      <name val="Arial"/>
      <family val="2"/>
    </font>
    <font>
      <b/>
      <sz val="11"/>
      <color rgb="FFFFFFFF"/>
      <name val="Arial"/>
      <family val="2"/>
    </font>
    <font>
      <b/>
      <sz val="13"/>
      <color rgb="FFFFFFFF"/>
      <name val="Arial"/>
      <family val="2"/>
    </font>
    <font>
      <sz val="9"/>
      <color theme="1"/>
      <name val="Arial"/>
      <family val="2"/>
    </font>
    <font>
      <b/>
      <sz val="9"/>
      <color theme="1"/>
      <name val="Arial"/>
      <family val="2"/>
    </font>
  </fonts>
  <fills count="50">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DAEEF3"/>
        <bgColor rgb="FFE2EFDA"/>
      </patternFill>
    </fill>
    <fill>
      <patternFill patternType="solid">
        <fgColor rgb="FFCFE2F3"/>
        <bgColor rgb="FFDAEEF3"/>
      </patternFill>
    </fill>
    <fill>
      <patternFill patternType="solid">
        <fgColor rgb="FFFFFFFF"/>
        <bgColor rgb="FFFFF2CC"/>
      </patternFill>
    </fill>
    <fill>
      <patternFill patternType="solid">
        <fgColor rgb="FFD9D2E9"/>
        <bgColor rgb="FFCFE2F3"/>
      </patternFill>
    </fill>
    <fill>
      <patternFill patternType="solid">
        <fgColor rgb="FFFCE5CD"/>
        <bgColor rgb="FFFFF2CC"/>
      </patternFill>
    </fill>
    <fill>
      <patternFill patternType="solid">
        <fgColor rgb="FFE2EFDA"/>
        <bgColor rgb="FFD9EAD3"/>
      </patternFill>
    </fill>
    <fill>
      <patternFill patternType="solid">
        <fgColor rgb="FFBDD7EE"/>
        <bgColor rgb="FFD9EAF7"/>
      </patternFill>
    </fill>
    <fill>
      <patternFill patternType="solid">
        <fgColor rgb="FFFFFFFF"/>
        <bgColor rgb="FFF9F9F9"/>
      </patternFill>
    </fill>
    <fill>
      <patternFill patternType="solid">
        <fgColor rgb="FF1F5C8B"/>
        <bgColor rgb="FF2E75B6"/>
      </patternFill>
    </fill>
    <fill>
      <patternFill patternType="solid">
        <fgColor rgb="FFDDEEFF"/>
        <bgColor rgb="FFD9EAF7"/>
      </patternFill>
    </fill>
    <fill>
      <patternFill patternType="solid">
        <fgColor rgb="FFDFF0D8"/>
        <bgColor rgb="FFE2EFDA"/>
      </patternFill>
    </fill>
    <fill>
      <patternFill patternType="solid">
        <fgColor rgb="FFFF4D4D"/>
        <bgColor rgb="FFFF8080"/>
      </patternFill>
    </fill>
    <fill>
      <patternFill patternType="solid">
        <fgColor rgb="FFEEF6FF"/>
        <bgColor rgb="FFF2F2F2"/>
      </patternFill>
    </fill>
    <fill>
      <patternFill patternType="solid">
        <fgColor rgb="FFFFEB9C"/>
        <bgColor rgb="FFFFF2CC"/>
      </patternFill>
    </fill>
    <fill>
      <patternFill patternType="solid">
        <fgColor rgb="FFFFA500"/>
        <bgColor rgb="FFFF8080"/>
      </patternFill>
    </fill>
    <fill>
      <patternFill patternType="solid">
        <fgColor rgb="FFC6EFCE"/>
        <bgColor rgb="FFDFF0D8"/>
      </patternFill>
    </fill>
    <fill>
      <patternFill patternType="solid">
        <fgColor rgb="FF375623"/>
        <bgColor rgb="FF276221"/>
      </patternFill>
    </fill>
    <fill>
      <patternFill patternType="solid">
        <fgColor rgb="FFF0F7EC"/>
        <bgColor rgb="FFF2F2F2"/>
      </patternFill>
    </fill>
    <fill>
      <patternFill patternType="solid">
        <fgColor rgb="FFD9EAF7"/>
        <bgColor rgb="FFDDEEFF"/>
      </patternFill>
    </fill>
    <fill>
      <patternFill patternType="solid">
        <fgColor rgb="FFE2EFDA"/>
        <bgColor rgb="FFDFF0D8"/>
      </patternFill>
    </fill>
    <fill>
      <patternFill patternType="solid">
        <fgColor rgb="FF7F6000"/>
        <bgColor rgb="FF856404"/>
      </patternFill>
    </fill>
    <fill>
      <patternFill patternType="solid">
        <fgColor rgb="FFFFF2CC"/>
        <bgColor rgb="FFFFF3CD"/>
      </patternFill>
    </fill>
    <fill>
      <patternFill patternType="solid">
        <fgColor rgb="FFFFF3CD"/>
        <bgColor rgb="FFFFF2CC"/>
      </patternFill>
    </fill>
    <fill>
      <patternFill patternType="solid">
        <fgColor rgb="FFFFFAE5"/>
        <bgColor rgb="FFF9F9F9"/>
      </patternFill>
    </fill>
    <fill>
      <patternFill patternType="solid">
        <fgColor rgb="FF404040"/>
        <bgColor rgb="FF444444"/>
      </patternFill>
    </fill>
    <fill>
      <patternFill patternType="solid">
        <fgColor rgb="FFF9F9F9"/>
        <bgColor rgb="FFFFFFFF"/>
      </patternFill>
    </fill>
    <fill>
      <patternFill patternType="solid">
        <fgColor rgb="FFF2F2F2"/>
        <bgColor rgb="FFF0F7EC"/>
      </patternFill>
    </fill>
    <fill>
      <patternFill patternType="solid">
        <fgColor rgb="FFBDD7EE"/>
        <bgColor rgb="FFD0E0E3"/>
      </patternFill>
    </fill>
    <fill>
      <patternFill patternType="solid">
        <fgColor rgb="FFEEF5FB"/>
        <bgColor rgb="FFEEF6FF"/>
      </patternFill>
    </fill>
    <fill>
      <patternFill patternType="solid">
        <fgColor rgb="FFE2F0D9"/>
        <bgColor rgb="FFE2EFDA"/>
      </patternFill>
    </fill>
    <fill>
      <patternFill patternType="solid">
        <fgColor rgb="FFF0F7EB"/>
        <bgColor rgb="FFF0F7EC"/>
      </patternFill>
    </fill>
    <fill>
      <patternFill patternType="solid">
        <fgColor theme="9" tint="0.79998168889431442"/>
        <bgColor rgb="FFD0E0E3"/>
      </patternFill>
    </fill>
    <fill>
      <patternFill patternType="solid">
        <fgColor rgb="FFF4CCCC"/>
        <bgColor rgb="FFEAD1DC"/>
      </patternFill>
    </fill>
    <fill>
      <patternFill patternType="solid">
        <fgColor rgb="FFD9EAD3"/>
        <bgColor rgb="FFDFF0D8"/>
      </patternFill>
    </fill>
    <fill>
      <patternFill patternType="solid">
        <fgColor rgb="FFCFE2F3"/>
        <bgColor rgb="FFD0E0E3"/>
      </patternFill>
    </fill>
    <fill>
      <patternFill patternType="solid">
        <fgColor rgb="FFD9D2E9"/>
        <bgColor rgb="FFEAD1DC"/>
      </patternFill>
    </fill>
    <fill>
      <patternFill patternType="solid">
        <fgColor rgb="FFD0E0E3"/>
        <bgColor rgb="FFCFE2F3"/>
      </patternFill>
    </fill>
    <fill>
      <patternFill patternType="solid">
        <fgColor rgb="FFF9CB9C"/>
        <bgColor rgb="FFF4CCCC"/>
      </patternFill>
    </fill>
    <fill>
      <patternFill patternType="solid">
        <fgColor rgb="FFB6D7A8"/>
        <bgColor rgb="FFBDD7EE"/>
      </patternFill>
    </fill>
    <fill>
      <patternFill patternType="solid">
        <fgColor rgb="FF1F3864"/>
        <bgColor rgb="FF333333"/>
      </patternFill>
    </fill>
    <fill>
      <patternFill patternType="solid">
        <fgColor rgb="FFE8F5E9"/>
        <bgColor rgb="FFF0F7EB"/>
      </patternFill>
    </fill>
    <fill>
      <patternFill patternType="solid">
        <fgColor rgb="FFEAD1DC"/>
        <bgColor rgb="FFF4CCCC"/>
      </patternFill>
    </fill>
    <fill>
      <patternFill patternType="solid">
        <fgColor rgb="FF2E75B6"/>
        <bgColor rgb="FF1F5C8B"/>
      </patternFill>
    </fill>
    <fill>
      <patternFill patternType="solid">
        <fgColor rgb="FFBDD7EE"/>
        <bgColor rgb="FF800000"/>
      </patternFill>
    </fill>
    <fill>
      <patternFill patternType="solid">
        <fgColor rgb="FFBDD7EE"/>
        <bgColor rgb="FF9C6500"/>
      </patternFill>
    </fill>
    <fill>
      <patternFill patternType="solid">
        <fgColor rgb="FF2E75B6"/>
        <bgColor rgb="FF333333"/>
      </patternFill>
    </fill>
  </fills>
  <borders count="7">
    <border>
      <left/>
      <right/>
      <top/>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right/>
      <top/>
      <bottom style="thin">
        <color rgb="FFAAAAAA"/>
      </bottom>
      <diagonal/>
    </border>
    <border>
      <left style="thin">
        <color rgb="FFAAAAAA"/>
      </left>
      <right/>
      <top/>
      <bottom/>
      <diagonal/>
    </border>
  </borders>
  <cellStyleXfs count="1">
    <xf numFmtId="0" fontId="0" fillId="0" borderId="0"/>
  </cellStyleXfs>
  <cellXfs count="157">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3"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0" fillId="2" borderId="1" xfId="0" applyFill="1" applyBorder="1"/>
    <xf numFmtId="0" fontId="3" fillId="9" borderId="1" xfId="0" applyFont="1" applyFill="1" applyBorder="1" applyAlignment="1">
      <alignment horizontal="center" vertical="center" wrapText="1"/>
    </xf>
    <xf numFmtId="0" fontId="9" fillId="10"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6" fillId="13" borderId="1" xfId="0" applyFont="1" applyFill="1" applyBorder="1" applyAlignment="1">
      <alignment horizontal="left" vertical="center" wrapText="1"/>
    </xf>
    <xf numFmtId="0" fontId="10" fillId="14" borderId="1" xfId="0" applyFont="1" applyFill="1" applyBorder="1" applyAlignment="1">
      <alignment horizontal="center" vertical="center" wrapText="1"/>
    </xf>
    <xf numFmtId="0" fontId="4" fillId="13" borderId="1" xfId="0" applyFont="1" applyFill="1" applyBorder="1" applyAlignment="1">
      <alignment horizontal="left" vertical="top" wrapText="1"/>
    </xf>
    <xf numFmtId="0" fontId="11" fillId="15" borderId="1" xfId="0" applyFont="1" applyFill="1" applyBorder="1" applyAlignment="1">
      <alignment horizontal="center" vertical="center" wrapText="1"/>
    </xf>
    <xf numFmtId="0" fontId="12" fillId="13" borderId="1" xfId="0" applyFont="1" applyFill="1" applyBorder="1" applyAlignment="1">
      <alignment horizontal="center" vertical="center" wrapText="1"/>
    </xf>
    <xf numFmtId="0" fontId="13" fillId="13" borderId="1" xfId="0" applyFont="1" applyFill="1" applyBorder="1" applyAlignment="1">
      <alignment horizontal="left" vertical="center" wrapText="1"/>
    </xf>
    <xf numFmtId="0" fontId="6" fillId="16" borderId="1" xfId="0" applyFont="1" applyFill="1" applyBorder="1" applyAlignment="1">
      <alignment horizontal="left" vertical="center" wrapText="1"/>
    </xf>
    <xf numFmtId="0" fontId="4" fillId="16" borderId="1" xfId="0" applyFont="1" applyFill="1" applyBorder="1" applyAlignment="1">
      <alignment horizontal="left" vertical="top" wrapText="1"/>
    </xf>
    <xf numFmtId="0" fontId="12" fillId="16" borderId="1" xfId="0" applyFont="1" applyFill="1" applyBorder="1" applyAlignment="1">
      <alignment horizontal="center" vertical="center" wrapText="1"/>
    </xf>
    <xf numFmtId="0" fontId="13" fillId="16" borderId="1" xfId="0" applyFont="1" applyFill="1" applyBorder="1" applyAlignment="1">
      <alignment horizontal="left" vertical="center" wrapText="1"/>
    </xf>
    <xf numFmtId="0" fontId="14" fillId="17" borderId="1" xfId="0" applyFont="1" applyFill="1" applyBorder="1" applyAlignment="1">
      <alignment horizontal="left" vertical="center" wrapText="1"/>
    </xf>
    <xf numFmtId="0" fontId="11" fillId="18" borderId="1" xfId="0" applyFont="1" applyFill="1" applyBorder="1" applyAlignment="1">
      <alignment horizontal="center" vertical="center" wrapText="1"/>
    </xf>
    <xf numFmtId="0" fontId="10" fillId="19" borderId="1" xfId="0" applyFont="1" applyFill="1" applyBorder="1" applyAlignment="1">
      <alignment horizontal="left" vertical="center" wrapText="1"/>
    </xf>
    <xf numFmtId="0" fontId="6" fillId="21" borderId="1" xfId="0" applyFont="1" applyFill="1" applyBorder="1" applyAlignment="1">
      <alignment horizontal="left" vertical="center" wrapText="1"/>
    </xf>
    <xf numFmtId="0" fontId="9" fillId="22" borderId="1" xfId="0" applyFont="1" applyFill="1" applyBorder="1" applyAlignment="1">
      <alignment horizontal="center" vertical="center" wrapText="1"/>
    </xf>
    <xf numFmtId="0" fontId="4" fillId="21" borderId="1" xfId="0" applyFont="1" applyFill="1" applyBorder="1" applyAlignment="1">
      <alignment horizontal="left" vertical="top" wrapText="1"/>
    </xf>
    <xf numFmtId="0" fontId="12" fillId="21" borderId="1" xfId="0" applyFont="1" applyFill="1" applyBorder="1" applyAlignment="1">
      <alignment horizontal="center" vertical="center" wrapText="1"/>
    </xf>
    <xf numFmtId="0" fontId="13" fillId="21" borderId="1" xfId="0" applyFont="1" applyFill="1" applyBorder="1" applyAlignment="1">
      <alignment horizontal="left" vertical="center" wrapText="1"/>
    </xf>
    <xf numFmtId="0" fontId="6" fillId="23" borderId="1" xfId="0" applyFont="1" applyFill="1" applyBorder="1" applyAlignment="1">
      <alignment horizontal="left" vertical="center" wrapText="1"/>
    </xf>
    <xf numFmtId="0" fontId="4" fillId="23" borderId="1" xfId="0" applyFont="1" applyFill="1" applyBorder="1" applyAlignment="1">
      <alignment horizontal="left" vertical="top" wrapText="1"/>
    </xf>
    <xf numFmtId="0" fontId="12" fillId="23" borderId="1" xfId="0" applyFont="1" applyFill="1" applyBorder="1" applyAlignment="1">
      <alignment horizontal="center" vertical="center" wrapText="1"/>
    </xf>
    <xf numFmtId="0" fontId="13" fillId="23" borderId="1" xfId="0" applyFont="1" applyFill="1" applyBorder="1" applyAlignment="1">
      <alignment horizontal="left" vertical="center" wrapText="1"/>
    </xf>
    <xf numFmtId="0" fontId="6" fillId="25" borderId="1" xfId="0" applyFont="1" applyFill="1" applyBorder="1" applyAlignment="1">
      <alignment horizontal="left" vertical="center" wrapText="1"/>
    </xf>
    <xf numFmtId="0" fontId="15" fillId="26" borderId="1" xfId="0" applyFont="1" applyFill="1" applyBorder="1" applyAlignment="1">
      <alignment horizontal="center" vertical="center" wrapText="1"/>
    </xf>
    <xf numFmtId="0" fontId="4" fillId="25" borderId="1" xfId="0" applyFont="1" applyFill="1" applyBorder="1" applyAlignment="1">
      <alignment horizontal="left" vertical="top" wrapText="1"/>
    </xf>
    <xf numFmtId="0" fontId="12" fillId="25" borderId="1" xfId="0" applyFont="1" applyFill="1" applyBorder="1" applyAlignment="1">
      <alignment horizontal="center" vertical="center" wrapText="1"/>
    </xf>
    <xf numFmtId="0" fontId="16" fillId="25" borderId="1" xfId="0" applyFont="1" applyFill="1" applyBorder="1" applyAlignment="1">
      <alignment horizontal="center" vertical="center" wrapText="1"/>
    </xf>
    <xf numFmtId="0" fontId="13" fillId="25" borderId="1" xfId="0" applyFont="1" applyFill="1" applyBorder="1" applyAlignment="1">
      <alignment horizontal="left" vertical="center" wrapText="1"/>
    </xf>
    <xf numFmtId="0" fontId="6" fillId="27" borderId="1" xfId="0" applyFont="1" applyFill="1" applyBorder="1" applyAlignment="1">
      <alignment horizontal="left" vertical="center" wrapText="1"/>
    </xf>
    <xf numFmtId="0" fontId="4" fillId="27" borderId="1" xfId="0" applyFont="1" applyFill="1" applyBorder="1" applyAlignment="1">
      <alignment horizontal="left" vertical="top" wrapText="1"/>
    </xf>
    <xf numFmtId="0" fontId="12" fillId="27" borderId="1" xfId="0" applyFont="1" applyFill="1" applyBorder="1" applyAlignment="1">
      <alignment horizontal="center" vertical="center" wrapText="1"/>
    </xf>
    <xf numFmtId="0" fontId="16" fillId="27" borderId="1" xfId="0" applyFont="1" applyFill="1" applyBorder="1" applyAlignment="1">
      <alignment horizontal="center" vertical="center" wrapText="1"/>
    </xf>
    <xf numFmtId="0" fontId="13" fillId="27" borderId="1" xfId="0" applyFont="1" applyFill="1" applyBorder="1" applyAlignment="1">
      <alignment horizontal="left" vertical="center" wrapText="1"/>
    </xf>
    <xf numFmtId="0" fontId="18" fillId="31" borderId="1" xfId="0" applyFont="1" applyFill="1" applyBorder="1" applyAlignment="1">
      <alignment horizontal="center" vertical="center" wrapText="1"/>
    </xf>
    <xf numFmtId="0" fontId="4" fillId="11" borderId="2" xfId="0" applyFont="1" applyFill="1" applyBorder="1" applyAlignment="1">
      <alignment horizontal="center" vertical="center" wrapText="1"/>
    </xf>
    <xf numFmtId="0" fontId="4" fillId="11" borderId="3" xfId="0" applyFont="1" applyFill="1" applyBorder="1" applyAlignment="1">
      <alignment horizontal="center" vertical="center" wrapText="1"/>
    </xf>
    <xf numFmtId="0" fontId="4" fillId="11" borderId="4" xfId="0" applyFont="1" applyFill="1" applyBorder="1" applyAlignment="1">
      <alignment horizontal="center" vertical="center" wrapText="1"/>
    </xf>
    <xf numFmtId="0" fontId="2" fillId="28" borderId="0" xfId="0" applyFont="1" applyFill="1" applyAlignment="1">
      <alignment horizontal="center" vertical="center" wrapText="1"/>
    </xf>
    <xf numFmtId="0" fontId="10" fillId="19" borderId="2" xfId="0" applyFont="1" applyFill="1" applyBorder="1" applyAlignment="1">
      <alignment horizontal="center" vertical="center" wrapText="1"/>
    </xf>
    <xf numFmtId="0" fontId="4" fillId="29" borderId="2" xfId="0" applyFont="1" applyFill="1" applyBorder="1" applyAlignment="1">
      <alignment horizontal="left" vertical="center" wrapText="1"/>
    </xf>
    <xf numFmtId="0" fontId="4" fillId="11" borderId="2" xfId="0" applyFont="1" applyFill="1" applyBorder="1" applyAlignment="1">
      <alignment horizontal="left" vertical="center" wrapText="1"/>
    </xf>
    <xf numFmtId="0" fontId="14" fillId="17" borderId="2" xfId="0" applyFont="1" applyFill="1" applyBorder="1" applyAlignment="1">
      <alignment horizontal="center" vertical="center" wrapText="1"/>
    </xf>
    <xf numFmtId="0" fontId="17" fillId="30" borderId="2" xfId="0" applyFont="1" applyFill="1" applyBorder="1" applyAlignment="1">
      <alignment horizontal="center" vertical="center" wrapText="1"/>
    </xf>
    <xf numFmtId="0" fontId="11" fillId="15" borderId="2" xfId="0" applyFont="1" applyFill="1" applyBorder="1" applyAlignment="1">
      <alignment horizontal="center" vertical="center" wrapText="1"/>
    </xf>
    <xf numFmtId="0" fontId="11" fillId="18" borderId="2" xfId="0" applyFont="1" applyFill="1" applyBorder="1" applyAlignment="1">
      <alignment horizontal="center" vertical="center" wrapText="1"/>
    </xf>
    <xf numFmtId="0" fontId="8" fillId="2" borderId="0" xfId="0" applyFont="1" applyFill="1" applyAlignment="1">
      <alignment horizontal="center" vertical="center" wrapText="1"/>
    </xf>
    <xf numFmtId="0" fontId="5" fillId="20" borderId="2" xfId="0" applyFont="1" applyFill="1" applyBorder="1" applyAlignment="1">
      <alignment horizontal="center" vertical="center" wrapText="1"/>
    </xf>
    <xf numFmtId="0" fontId="5" fillId="20" borderId="3" xfId="0" applyFont="1" applyFill="1" applyBorder="1" applyAlignment="1">
      <alignment horizontal="center" vertical="center" wrapText="1"/>
    </xf>
    <xf numFmtId="0" fontId="5" fillId="24" borderId="2" xfId="0" applyFont="1" applyFill="1" applyBorder="1" applyAlignment="1">
      <alignment horizontal="center" vertical="center" wrapText="1"/>
    </xf>
    <xf numFmtId="0" fontId="5" fillId="24" borderId="3" xfId="0" applyFont="1" applyFill="1" applyBorder="1" applyAlignment="1">
      <alignment horizontal="center" vertical="center" wrapText="1"/>
    </xf>
    <xf numFmtId="0" fontId="5" fillId="12" borderId="2" xfId="0" applyFont="1" applyFill="1" applyBorder="1" applyAlignment="1">
      <alignment horizontal="center" vertical="center" wrapText="1"/>
    </xf>
    <xf numFmtId="0" fontId="5" fillId="12" borderId="3" xfId="0" applyFont="1" applyFill="1" applyBorder="1" applyAlignment="1">
      <alignment horizontal="center" vertical="center" wrapText="1"/>
    </xf>
    <xf numFmtId="0" fontId="5" fillId="12" borderId="4" xfId="0" applyFont="1" applyFill="1" applyBorder="1" applyAlignment="1">
      <alignment horizontal="center" vertical="center" wrapText="1"/>
    </xf>
    <xf numFmtId="0" fontId="1" fillId="2" borderId="0" xfId="0" applyFont="1" applyFill="1" applyAlignment="1">
      <alignment horizontal="center" vertical="center" wrapText="1"/>
    </xf>
    <xf numFmtId="0" fontId="2" fillId="2" borderId="2" xfId="0" applyFont="1" applyFill="1" applyBorder="1" applyAlignment="1">
      <alignment horizontal="center" vertical="center" wrapText="1"/>
    </xf>
    <xf numFmtId="0" fontId="4" fillId="32" borderId="1" xfId="0" applyFont="1" applyFill="1" applyBorder="1" applyAlignment="1">
      <alignment horizontal="left" vertical="center" wrapText="1"/>
    </xf>
    <xf numFmtId="0" fontId="4" fillId="22" borderId="1" xfId="0" applyFont="1" applyFill="1" applyBorder="1" applyAlignment="1">
      <alignment horizontal="left" vertical="center" wrapText="1"/>
    </xf>
    <xf numFmtId="0" fontId="7" fillId="31" borderId="1" xfId="0" applyFont="1" applyFill="1" applyBorder="1" applyAlignment="1">
      <alignment horizontal="center" vertical="center" wrapText="1"/>
    </xf>
    <xf numFmtId="0" fontId="19" fillId="33" borderId="1" xfId="0" applyFont="1" applyFill="1" applyBorder="1" applyAlignment="1">
      <alignment horizontal="center" vertical="center" wrapText="1"/>
    </xf>
    <xf numFmtId="0" fontId="19" fillId="34" borderId="1" xfId="0" applyFont="1" applyFill="1" applyBorder="1" applyAlignment="1">
      <alignment horizontal="center" vertical="center" wrapText="1"/>
    </xf>
    <xf numFmtId="0" fontId="20" fillId="9" borderId="1" xfId="0" applyFont="1" applyFill="1" applyBorder="1" applyAlignment="1">
      <alignment horizontal="center" vertical="center" wrapText="1"/>
    </xf>
    <xf numFmtId="0" fontId="21" fillId="35" borderId="1" xfId="0" applyFont="1" applyFill="1" applyBorder="1" applyAlignment="1">
      <alignment horizontal="center" vertical="center" wrapText="1"/>
    </xf>
    <xf numFmtId="0" fontId="22" fillId="36" borderId="1" xfId="0" applyFont="1" applyFill="1" applyBorder="1" applyAlignment="1">
      <alignment horizontal="center" vertical="center" wrapText="1"/>
    </xf>
    <xf numFmtId="0" fontId="22" fillId="8" borderId="1" xfId="0" applyFont="1" applyFill="1" applyBorder="1" applyAlignment="1">
      <alignment horizontal="center" vertical="center" wrapText="1"/>
    </xf>
    <xf numFmtId="0" fontId="22" fillId="25" borderId="1" xfId="0" applyFont="1" applyFill="1" applyBorder="1" applyAlignment="1">
      <alignment horizontal="center" vertical="center" wrapText="1"/>
    </xf>
    <xf numFmtId="0" fontId="22" fillId="37" borderId="1" xfId="0" applyFont="1" applyFill="1" applyBorder="1" applyAlignment="1">
      <alignment horizontal="center" vertical="center" wrapText="1"/>
    </xf>
    <xf numFmtId="0" fontId="22" fillId="38" borderId="1" xfId="0" applyFont="1" applyFill="1" applyBorder="1" applyAlignment="1">
      <alignment horizontal="center" vertical="center" wrapText="1"/>
    </xf>
    <xf numFmtId="0" fontId="22" fillId="39" borderId="1" xfId="0" applyFont="1" applyFill="1" applyBorder="1" applyAlignment="1">
      <alignment horizontal="center" vertical="center" wrapText="1"/>
    </xf>
    <xf numFmtId="0" fontId="22" fillId="40" borderId="1" xfId="0" applyFont="1" applyFill="1" applyBorder="1" applyAlignment="1">
      <alignment horizontal="center" vertical="center" wrapText="1"/>
    </xf>
    <xf numFmtId="0" fontId="22" fillId="41" borderId="1" xfId="0" applyFont="1" applyFill="1" applyBorder="1" applyAlignment="1">
      <alignment horizontal="center" vertical="center" wrapText="1"/>
    </xf>
    <xf numFmtId="0" fontId="22" fillId="42" borderId="1" xfId="0" applyFont="1" applyFill="1" applyBorder="1" applyAlignment="1">
      <alignment horizontal="center" vertical="center" wrapText="1"/>
    </xf>
    <xf numFmtId="0" fontId="24" fillId="36" borderId="1" xfId="0" applyFont="1" applyFill="1" applyBorder="1" applyAlignment="1">
      <alignment horizontal="center" vertical="center" wrapText="1"/>
    </xf>
    <xf numFmtId="0" fontId="24" fillId="8" borderId="1" xfId="0" applyFont="1" applyFill="1" applyBorder="1" applyAlignment="1">
      <alignment horizontal="center" vertical="center" wrapText="1"/>
    </xf>
    <xf numFmtId="0" fontId="24" fillId="25" borderId="1" xfId="0" applyFont="1" applyFill="1" applyBorder="1" applyAlignment="1">
      <alignment horizontal="center" vertical="center" wrapText="1"/>
    </xf>
    <xf numFmtId="0" fontId="24" fillId="37" borderId="1" xfId="0" applyFont="1" applyFill="1" applyBorder="1" applyAlignment="1">
      <alignment horizontal="center" vertical="center" wrapText="1"/>
    </xf>
    <xf numFmtId="0" fontId="24" fillId="38" borderId="1" xfId="0" applyFont="1" applyFill="1" applyBorder="1" applyAlignment="1">
      <alignment horizontal="center" vertical="center" wrapText="1"/>
    </xf>
    <xf numFmtId="0" fontId="24" fillId="39" borderId="1" xfId="0" applyFont="1" applyFill="1" applyBorder="1" applyAlignment="1">
      <alignment horizontal="center" vertical="center" wrapText="1"/>
    </xf>
    <xf numFmtId="0" fontId="24" fillId="40" borderId="1" xfId="0" applyFont="1" applyFill="1" applyBorder="1" applyAlignment="1">
      <alignment horizontal="center" vertical="center" wrapText="1"/>
    </xf>
    <xf numFmtId="0" fontId="24" fillId="41" borderId="1" xfId="0" applyFont="1" applyFill="1" applyBorder="1" applyAlignment="1">
      <alignment horizontal="center" vertical="center" wrapText="1"/>
    </xf>
    <xf numFmtId="0" fontId="24" fillId="42"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0" fillId="2" borderId="6" xfId="0" applyFill="1" applyBorder="1" applyAlignment="1">
      <alignment horizontal="center"/>
    </xf>
    <xf numFmtId="0" fontId="0" fillId="2" borderId="0" xfId="0" applyFill="1" applyBorder="1" applyAlignment="1">
      <alignment horizontal="center"/>
    </xf>
    <xf numFmtId="0" fontId="24" fillId="33" borderId="1" xfId="0" applyFont="1" applyFill="1" applyBorder="1" applyAlignment="1">
      <alignment horizontal="left" vertical="center" wrapText="1"/>
    </xf>
    <xf numFmtId="0" fontId="24" fillId="34" borderId="1" xfId="0" applyFont="1" applyFill="1" applyBorder="1" applyAlignment="1">
      <alignment horizontal="left" vertical="center" wrapText="1"/>
    </xf>
    <xf numFmtId="0" fontId="26" fillId="34" borderId="1" xfId="0" applyFont="1" applyFill="1" applyBorder="1" applyAlignment="1">
      <alignment horizontal="center" vertical="center" wrapText="1"/>
    </xf>
    <xf numFmtId="0" fontId="26" fillId="31" borderId="1" xfId="0" applyFont="1" applyFill="1" applyBorder="1" applyAlignment="1">
      <alignment horizontal="center" vertical="center" wrapText="1"/>
    </xf>
    <xf numFmtId="0" fontId="27" fillId="31" borderId="1" xfId="0" applyFont="1" applyFill="1" applyBorder="1" applyAlignment="1">
      <alignment horizontal="center" vertical="center" wrapText="1"/>
    </xf>
    <xf numFmtId="0" fontId="26" fillId="33" borderId="1" xfId="0" applyFont="1" applyFill="1" applyBorder="1" applyAlignment="1">
      <alignment horizontal="center" vertical="center" wrapText="1"/>
    </xf>
    <xf numFmtId="0" fontId="22" fillId="25" borderId="1" xfId="0" applyFont="1" applyFill="1" applyBorder="1" applyAlignment="1">
      <alignment horizontal="center" vertical="center" wrapText="1"/>
    </xf>
    <xf numFmtId="0" fontId="22" fillId="39" borderId="1" xfId="0" applyFont="1" applyFill="1" applyBorder="1" applyAlignment="1">
      <alignment horizontal="center" vertical="center" wrapText="1"/>
    </xf>
    <xf numFmtId="0" fontId="29" fillId="22" borderId="1" xfId="0" applyFont="1" applyFill="1" applyBorder="1" applyAlignment="1">
      <alignment horizontal="center" vertical="center" wrapText="1"/>
    </xf>
    <xf numFmtId="0" fontId="29" fillId="32" borderId="1" xfId="0" applyFont="1" applyFill="1" applyBorder="1" applyAlignment="1">
      <alignment horizontal="center" vertical="center" wrapText="1"/>
    </xf>
    <xf numFmtId="0" fontId="22" fillId="8" borderId="1" xfId="0" applyFont="1" applyFill="1" applyBorder="1" applyAlignment="1">
      <alignment horizontal="center" vertical="center" wrapText="1"/>
    </xf>
    <xf numFmtId="0" fontId="22" fillId="45" borderId="1" xfId="0" applyFont="1" applyFill="1" applyBorder="1" applyAlignment="1">
      <alignment horizontal="center" vertical="center" wrapText="1"/>
    </xf>
    <xf numFmtId="0" fontId="24" fillId="45" borderId="1" xfId="0" applyFont="1" applyFill="1" applyBorder="1" applyAlignment="1">
      <alignment horizontal="center" vertical="center" wrapText="1"/>
    </xf>
    <xf numFmtId="0" fontId="22" fillId="40" borderId="1" xfId="0" applyFont="1" applyFill="1" applyBorder="1" applyAlignment="1">
      <alignment horizontal="center" vertical="center" wrapText="1"/>
    </xf>
    <xf numFmtId="0" fontId="22" fillId="41" borderId="1" xfId="0" applyFont="1" applyFill="1" applyBorder="1" applyAlignment="1">
      <alignment horizontal="center" vertical="center" wrapText="1"/>
    </xf>
    <xf numFmtId="0" fontId="22" fillId="42" borderId="1" xfId="0" applyFont="1" applyFill="1" applyBorder="1" applyAlignment="1">
      <alignment horizontal="center" vertical="center" wrapText="1"/>
    </xf>
    <xf numFmtId="0" fontId="22" fillId="38" borderId="1" xfId="0" applyFont="1" applyFill="1" applyBorder="1" applyAlignment="1">
      <alignment horizontal="center" vertical="center" wrapText="1"/>
    </xf>
    <xf numFmtId="0" fontId="30" fillId="43" borderId="2" xfId="0" applyFont="1" applyFill="1" applyBorder="1" applyAlignment="1">
      <alignment horizontal="center" vertical="center" wrapText="1"/>
    </xf>
    <xf numFmtId="0" fontId="31" fillId="43" borderId="1" xfId="0" applyFont="1" applyFill="1" applyBorder="1" applyAlignment="1">
      <alignment horizontal="center" vertical="center" wrapText="1"/>
    </xf>
    <xf numFmtId="0" fontId="28" fillId="44" borderId="1" xfId="0" applyFont="1" applyFill="1" applyBorder="1" applyAlignment="1">
      <alignment horizontal="left" vertical="center" wrapText="1"/>
    </xf>
    <xf numFmtId="0" fontId="24" fillId="22" borderId="1" xfId="0" applyFont="1" applyFill="1" applyBorder="1" applyAlignment="1">
      <alignment horizontal="left" vertical="center" wrapText="1"/>
    </xf>
    <xf numFmtId="0" fontId="24" fillId="32" borderId="1" xfId="0" applyFont="1" applyFill="1" applyBorder="1" applyAlignment="1">
      <alignment horizontal="left" vertical="center" wrapText="1"/>
    </xf>
    <xf numFmtId="0" fontId="32" fillId="25" borderId="1" xfId="0" applyFont="1" applyFill="1" applyBorder="1" applyAlignment="1">
      <alignment horizontal="left" vertical="center" wrapText="1"/>
    </xf>
    <xf numFmtId="0" fontId="33" fillId="25" borderId="1" xfId="0" applyFont="1" applyFill="1" applyBorder="1" applyAlignment="1">
      <alignment horizontal="center" vertical="center" wrapText="1"/>
    </xf>
    <xf numFmtId="0" fontId="32" fillId="39" borderId="1" xfId="0" applyFont="1" applyFill="1" applyBorder="1" applyAlignment="1">
      <alignment horizontal="left" vertical="center" wrapText="1"/>
    </xf>
    <xf numFmtId="0" fontId="33" fillId="39" borderId="1" xfId="0" applyFont="1" applyFill="1" applyBorder="1" applyAlignment="1">
      <alignment horizontal="center" vertical="center" wrapText="1"/>
    </xf>
    <xf numFmtId="0" fontId="32" fillId="8" borderId="1" xfId="0" applyFont="1" applyFill="1" applyBorder="1" applyAlignment="1">
      <alignment horizontal="left" vertical="center" wrapText="1"/>
    </xf>
    <xf numFmtId="0" fontId="33" fillId="8" borderId="1" xfId="0" applyFont="1" applyFill="1" applyBorder="1" applyAlignment="1">
      <alignment horizontal="center" vertical="center" wrapText="1"/>
    </xf>
    <xf numFmtId="0" fontId="32" fillId="45" borderId="1" xfId="0" applyFont="1" applyFill="1" applyBorder="1" applyAlignment="1">
      <alignment horizontal="left" vertical="center" wrapText="1"/>
    </xf>
    <xf numFmtId="0" fontId="33" fillId="45" borderId="1" xfId="0" applyFont="1" applyFill="1" applyBorder="1" applyAlignment="1">
      <alignment horizontal="center" vertical="center" wrapText="1"/>
    </xf>
    <xf numFmtId="0" fontId="32" fillId="40" borderId="1" xfId="0" applyFont="1" applyFill="1" applyBorder="1" applyAlignment="1">
      <alignment horizontal="left" vertical="center" wrapText="1"/>
    </xf>
    <xf numFmtId="0" fontId="33" fillId="40" borderId="1" xfId="0" applyFont="1" applyFill="1" applyBorder="1" applyAlignment="1">
      <alignment horizontal="center" vertical="center" wrapText="1"/>
    </xf>
    <xf numFmtId="0" fontId="32" fillId="41" borderId="1" xfId="0" applyFont="1" applyFill="1" applyBorder="1" applyAlignment="1">
      <alignment horizontal="left" vertical="center" wrapText="1"/>
    </xf>
    <xf numFmtId="0" fontId="33" fillId="41" borderId="1" xfId="0" applyFont="1" applyFill="1" applyBorder="1" applyAlignment="1">
      <alignment horizontal="center" vertical="center" wrapText="1"/>
    </xf>
    <xf numFmtId="0" fontId="32" fillId="42" borderId="1" xfId="0" applyFont="1" applyFill="1" applyBorder="1" applyAlignment="1">
      <alignment horizontal="left" vertical="center" wrapText="1"/>
    </xf>
    <xf numFmtId="0" fontId="33" fillId="42" borderId="1" xfId="0" applyFont="1" applyFill="1" applyBorder="1" applyAlignment="1">
      <alignment horizontal="center" vertical="center" wrapText="1"/>
    </xf>
    <xf numFmtId="0" fontId="32" fillId="38" borderId="1" xfId="0" applyFont="1" applyFill="1" applyBorder="1" applyAlignment="1">
      <alignment horizontal="left" vertical="center" wrapText="1"/>
    </xf>
    <xf numFmtId="0" fontId="33" fillId="38" borderId="1" xfId="0" applyFont="1" applyFill="1" applyBorder="1" applyAlignment="1">
      <alignment horizontal="center" vertical="center" wrapText="1"/>
    </xf>
    <xf numFmtId="0" fontId="32" fillId="36" borderId="1" xfId="0" applyFont="1" applyFill="1" applyBorder="1" applyAlignment="1">
      <alignment horizontal="left" vertical="center" wrapText="1"/>
    </xf>
    <xf numFmtId="0" fontId="32" fillId="8" borderId="1" xfId="0" applyFont="1" applyFill="1" applyBorder="1" applyAlignment="1">
      <alignment horizontal="left" vertical="center" wrapText="1"/>
    </xf>
    <xf numFmtId="0" fontId="32" fillId="37" borderId="1" xfId="0" applyFont="1" applyFill="1" applyBorder="1" applyAlignment="1">
      <alignment horizontal="left" vertical="center" wrapText="1"/>
    </xf>
    <xf numFmtId="0" fontId="32" fillId="38" borderId="1" xfId="0" applyFont="1" applyFill="1" applyBorder="1" applyAlignment="1">
      <alignment horizontal="left" vertical="center" wrapText="1"/>
    </xf>
    <xf numFmtId="0" fontId="23" fillId="46" borderId="1" xfId="0" applyFont="1" applyFill="1" applyBorder="1" applyAlignment="1">
      <alignment horizontal="center" vertical="center" wrapText="1"/>
    </xf>
    <xf numFmtId="0" fontId="24" fillId="36" borderId="2" xfId="0" applyFont="1" applyFill="1" applyBorder="1" applyAlignment="1">
      <alignment horizontal="left" vertical="center" wrapText="1"/>
    </xf>
    <xf numFmtId="0" fontId="24" fillId="8" borderId="2" xfId="0" applyFont="1" applyFill="1" applyBorder="1" applyAlignment="1">
      <alignment horizontal="left" vertical="center" wrapText="1"/>
    </xf>
    <xf numFmtId="0" fontId="24" fillId="25" borderId="2" xfId="0" applyFont="1" applyFill="1" applyBorder="1" applyAlignment="1">
      <alignment horizontal="left" vertical="center" wrapText="1"/>
    </xf>
    <xf numFmtId="0" fontId="24" fillId="37" borderId="2" xfId="0" applyFont="1" applyFill="1" applyBorder="1" applyAlignment="1">
      <alignment horizontal="left" vertical="center" wrapText="1"/>
    </xf>
    <xf numFmtId="0" fontId="24" fillId="38" borderId="2" xfId="0" applyFont="1" applyFill="1" applyBorder="1" applyAlignment="1">
      <alignment horizontal="left" vertical="center" wrapText="1"/>
    </xf>
    <xf numFmtId="0" fontId="24" fillId="39" borderId="2" xfId="0" applyFont="1" applyFill="1" applyBorder="1" applyAlignment="1">
      <alignment horizontal="left" vertical="center" wrapText="1"/>
    </xf>
    <xf numFmtId="0" fontId="22" fillId="45" borderId="1" xfId="0" applyFont="1" applyFill="1" applyBorder="1" applyAlignment="1">
      <alignment horizontal="center" vertical="center" wrapText="1"/>
    </xf>
    <xf numFmtId="0" fontId="24" fillId="45" borderId="2" xfId="0" applyFont="1" applyFill="1" applyBorder="1" applyAlignment="1">
      <alignment horizontal="left" vertical="center" wrapText="1"/>
    </xf>
    <xf numFmtId="0" fontId="24" fillId="40" borderId="2" xfId="0" applyFont="1" applyFill="1" applyBorder="1" applyAlignment="1">
      <alignment horizontal="left" vertical="center" wrapText="1"/>
    </xf>
    <xf numFmtId="0" fontId="24" fillId="41" borderId="2" xfId="0" applyFont="1" applyFill="1" applyBorder="1" applyAlignment="1">
      <alignment horizontal="left" vertical="center" wrapText="1"/>
    </xf>
    <xf numFmtId="0" fontId="24" fillId="42" borderId="2" xfId="0" applyFont="1" applyFill="1" applyBorder="1" applyAlignment="1">
      <alignment horizontal="left" vertical="center" wrapText="1"/>
    </xf>
    <xf numFmtId="0" fontId="32" fillId="47" borderId="1" xfId="0" applyFont="1" applyFill="1" applyBorder="1" applyAlignment="1">
      <alignment horizontal="center" vertical="center" wrapText="1"/>
    </xf>
    <xf numFmtId="0" fontId="32" fillId="48" borderId="1" xfId="0" applyFont="1" applyFill="1" applyBorder="1" applyAlignment="1">
      <alignment horizontal="center" vertical="center" wrapText="1"/>
    </xf>
    <xf numFmtId="0" fontId="25" fillId="49" borderId="1" xfId="0" applyFont="1" applyFill="1" applyBorder="1" applyAlignment="1">
      <alignment horizontal="center" vertical="center" wrapText="1"/>
    </xf>
    <xf numFmtId="0" fontId="30" fillId="43" borderId="2" xfId="0" applyFont="1" applyFill="1" applyBorder="1" applyAlignment="1">
      <alignment vertical="center" wrapText="1"/>
    </xf>
  </cellXfs>
  <cellStyles count="1">
    <cellStyle name="Normal" xfId="0" builtinId="0"/>
  </cellStyles>
  <dxfs count="0"/>
  <tableStyles count="0" defaultTableStyle="TableStyleMedium2" defaultPivotStyle="PivotStyleLight16"/>
  <colors>
    <mruColors>
      <color rgb="FF2E75B6"/>
      <color rgb="FFBDD7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0E95B-2E4B-45A4-B04B-952A13017E29}">
  <sheetPr>
    <tabColor theme="8" tint="0.79998168889431442"/>
  </sheetPr>
  <dimension ref="A1:I45"/>
  <sheetViews>
    <sheetView topLeftCell="A22" zoomScale="55" zoomScaleNormal="55" workbookViewId="0">
      <selection activeCell="E27" sqref="E27"/>
    </sheetView>
  </sheetViews>
  <sheetFormatPr baseColWidth="10" defaultRowHeight="14.4" x14ac:dyDescent="0.3"/>
  <cols>
    <col min="1" max="1" width="15.33203125" customWidth="1"/>
    <col min="3" max="3" width="27.33203125" customWidth="1"/>
    <col min="5" max="5" width="66.77734375" customWidth="1"/>
    <col min="6" max="6" width="14.33203125" customWidth="1"/>
    <col min="9" max="9" width="25.21875" customWidth="1"/>
  </cols>
  <sheetData>
    <row r="1" spans="1:9" ht="21" customHeight="1" x14ac:dyDescent="0.3">
      <c r="A1" s="60" t="s">
        <v>213</v>
      </c>
      <c r="B1" s="60"/>
      <c r="C1" s="60"/>
      <c r="D1" s="60"/>
      <c r="E1" s="60"/>
      <c r="F1" s="60"/>
      <c r="G1" s="60"/>
      <c r="H1" s="60"/>
      <c r="I1" s="60"/>
    </row>
    <row r="2" spans="1:9" ht="32.4" customHeight="1" x14ac:dyDescent="0.3">
      <c r="A2" s="12" t="s">
        <v>81</v>
      </c>
      <c r="B2" s="55" t="s">
        <v>214</v>
      </c>
      <c r="C2" s="55"/>
      <c r="D2" s="55"/>
      <c r="E2" s="55"/>
      <c r="F2" s="12" t="s">
        <v>82</v>
      </c>
      <c r="G2" s="49" t="s">
        <v>204</v>
      </c>
      <c r="H2" s="50"/>
      <c r="I2" s="51"/>
    </row>
    <row r="3" spans="1:9" ht="24" customHeight="1" x14ac:dyDescent="0.3">
      <c r="A3" s="12" t="s">
        <v>83</v>
      </c>
      <c r="B3" s="55" t="s">
        <v>84</v>
      </c>
      <c r="C3" s="55"/>
      <c r="D3" s="55"/>
      <c r="E3" s="55"/>
      <c r="F3" s="12" t="s">
        <v>85</v>
      </c>
      <c r="G3" s="49" t="s">
        <v>86</v>
      </c>
      <c r="H3" s="50"/>
      <c r="I3" s="51"/>
    </row>
    <row r="4" spans="1:9" ht="24" x14ac:dyDescent="0.3">
      <c r="A4" s="12" t="s">
        <v>87</v>
      </c>
      <c r="B4" s="55" t="s">
        <v>88</v>
      </c>
      <c r="C4" s="55"/>
      <c r="D4" s="55"/>
      <c r="E4" s="55"/>
      <c r="F4" s="12" t="s">
        <v>89</v>
      </c>
      <c r="G4" s="49" t="s">
        <v>90</v>
      </c>
      <c r="H4" s="50"/>
      <c r="I4" s="51"/>
    </row>
    <row r="5" spans="1:9" ht="30" customHeight="1" x14ac:dyDescent="0.3">
      <c r="A5" s="12" t="s">
        <v>91</v>
      </c>
      <c r="B5" s="55" t="s">
        <v>92</v>
      </c>
      <c r="C5" s="55"/>
      <c r="D5" s="55"/>
      <c r="E5" s="55"/>
      <c r="F5" s="12" t="s">
        <v>93</v>
      </c>
      <c r="G5" s="49" t="s">
        <v>94</v>
      </c>
      <c r="H5" s="50"/>
      <c r="I5" s="51"/>
    </row>
    <row r="6" spans="1:9" ht="24" x14ac:dyDescent="0.3">
      <c r="A6" s="12" t="s">
        <v>95</v>
      </c>
      <c r="B6" s="55" t="s">
        <v>96</v>
      </c>
      <c r="C6" s="55"/>
      <c r="D6" s="55"/>
      <c r="E6" s="55"/>
      <c r="F6" s="12" t="s">
        <v>97</v>
      </c>
      <c r="G6" s="49" t="s">
        <v>205</v>
      </c>
      <c r="H6" s="50"/>
      <c r="I6" s="51"/>
    </row>
    <row r="7" spans="1:9" ht="24" customHeight="1" x14ac:dyDescent="0.3">
      <c r="A7" s="12" t="s">
        <v>98</v>
      </c>
      <c r="B7" s="55" t="s">
        <v>99</v>
      </c>
      <c r="C7" s="55"/>
      <c r="D7" s="55"/>
      <c r="E7" s="55"/>
      <c r="F7" s="12" t="s">
        <v>100</v>
      </c>
      <c r="G7" s="49" t="s">
        <v>101</v>
      </c>
      <c r="H7" s="50"/>
      <c r="I7" s="51"/>
    </row>
    <row r="8" spans="1:9" ht="24" x14ac:dyDescent="0.3">
      <c r="A8" s="12" t="s">
        <v>102</v>
      </c>
      <c r="B8" s="55" t="s">
        <v>103</v>
      </c>
      <c r="C8" s="55"/>
      <c r="D8" s="55"/>
      <c r="E8" s="55"/>
      <c r="F8" s="12" t="s">
        <v>104</v>
      </c>
      <c r="G8" s="49" t="s">
        <v>105</v>
      </c>
      <c r="H8" s="50"/>
      <c r="I8" s="51"/>
    </row>
    <row r="10" spans="1:9" ht="52.8" x14ac:dyDescent="0.3">
      <c r="A10" s="13" t="s">
        <v>106</v>
      </c>
      <c r="B10" s="13" t="s">
        <v>1</v>
      </c>
      <c r="C10" s="13" t="s">
        <v>107</v>
      </c>
      <c r="D10" s="13" t="s">
        <v>77</v>
      </c>
      <c r="E10" s="13" t="s">
        <v>108</v>
      </c>
      <c r="F10" s="13" t="s">
        <v>5</v>
      </c>
      <c r="G10" s="13" t="s">
        <v>109</v>
      </c>
      <c r="H10" s="13" t="s">
        <v>215</v>
      </c>
      <c r="I10" s="13" t="s">
        <v>110</v>
      </c>
    </row>
    <row r="11" spans="1:9" ht="14.4" customHeight="1" x14ac:dyDescent="0.3">
      <c r="A11" s="65" t="s">
        <v>111</v>
      </c>
      <c r="B11" s="66"/>
      <c r="C11" s="66"/>
      <c r="D11" s="66"/>
      <c r="E11" s="66"/>
      <c r="F11" s="66"/>
      <c r="G11" s="66"/>
      <c r="H11" s="66"/>
      <c r="I11" s="67"/>
    </row>
    <row r="12" spans="1:9" ht="45.6" x14ac:dyDescent="0.3">
      <c r="A12" s="14">
        <v>1</v>
      </c>
      <c r="B12" s="14" t="s">
        <v>10</v>
      </c>
      <c r="C12" s="15" t="s">
        <v>112</v>
      </c>
      <c r="D12" s="16" t="s">
        <v>113</v>
      </c>
      <c r="E12" s="17" t="s">
        <v>114</v>
      </c>
      <c r="F12" s="18" t="s">
        <v>115</v>
      </c>
      <c r="G12" s="19" t="s">
        <v>116</v>
      </c>
      <c r="H12" s="48">
        <v>7</v>
      </c>
      <c r="I12" s="20" t="s">
        <v>117</v>
      </c>
    </row>
    <row r="13" spans="1:9" ht="45.6" x14ac:dyDescent="0.3">
      <c r="A13" s="14">
        <v>2</v>
      </c>
      <c r="B13" s="14" t="s">
        <v>15</v>
      </c>
      <c r="C13" s="21" t="s">
        <v>118</v>
      </c>
      <c r="D13" s="16" t="s">
        <v>113</v>
      </c>
      <c r="E13" s="22" t="s">
        <v>119</v>
      </c>
      <c r="F13" s="18" t="s">
        <v>115</v>
      </c>
      <c r="G13" s="23" t="s">
        <v>120</v>
      </c>
      <c r="H13" s="48">
        <v>7</v>
      </c>
      <c r="I13" s="24" t="s">
        <v>117</v>
      </c>
    </row>
    <row r="14" spans="1:9" ht="45.6" x14ac:dyDescent="0.3">
      <c r="A14" s="14">
        <v>3</v>
      </c>
      <c r="B14" s="14" t="s">
        <v>18</v>
      </c>
      <c r="C14" s="15" t="s">
        <v>121</v>
      </c>
      <c r="D14" s="16" t="s">
        <v>113</v>
      </c>
      <c r="E14" s="17" t="s">
        <v>122</v>
      </c>
      <c r="F14" s="18" t="s">
        <v>115</v>
      </c>
      <c r="G14" s="19" t="s">
        <v>123</v>
      </c>
      <c r="H14" s="48">
        <v>5</v>
      </c>
      <c r="I14" s="20" t="s">
        <v>117</v>
      </c>
    </row>
    <row r="15" spans="1:9" ht="57" x14ac:dyDescent="0.3">
      <c r="A15" s="14">
        <v>4</v>
      </c>
      <c r="B15" s="14" t="s">
        <v>21</v>
      </c>
      <c r="C15" s="21" t="s">
        <v>124</v>
      </c>
      <c r="D15" s="16" t="s">
        <v>113</v>
      </c>
      <c r="E15" s="22" t="s">
        <v>125</v>
      </c>
      <c r="F15" s="18" t="s">
        <v>115</v>
      </c>
      <c r="G15" s="23" t="s">
        <v>126</v>
      </c>
      <c r="H15" s="48">
        <v>6</v>
      </c>
      <c r="I15" s="24" t="s">
        <v>117</v>
      </c>
    </row>
    <row r="16" spans="1:9" ht="57" x14ac:dyDescent="0.3">
      <c r="A16" s="14">
        <v>5</v>
      </c>
      <c r="B16" s="14" t="s">
        <v>24</v>
      </c>
      <c r="C16" s="15" t="s">
        <v>127</v>
      </c>
      <c r="D16" s="16" t="s">
        <v>113</v>
      </c>
      <c r="E16" s="17" t="s">
        <v>128</v>
      </c>
      <c r="F16" s="18" t="s">
        <v>115</v>
      </c>
      <c r="G16" s="19" t="s">
        <v>129</v>
      </c>
      <c r="H16" s="48">
        <v>5</v>
      </c>
      <c r="I16" s="20" t="s">
        <v>117</v>
      </c>
    </row>
    <row r="17" spans="1:9" ht="45.6" x14ac:dyDescent="0.3">
      <c r="A17" s="14">
        <v>6</v>
      </c>
      <c r="B17" s="14" t="s">
        <v>27</v>
      </c>
      <c r="C17" s="21" t="s">
        <v>130</v>
      </c>
      <c r="D17" s="16" t="s">
        <v>113</v>
      </c>
      <c r="E17" s="22" t="s">
        <v>131</v>
      </c>
      <c r="F17" s="18" t="s">
        <v>115</v>
      </c>
      <c r="G17" s="23" t="s">
        <v>132</v>
      </c>
      <c r="H17" s="48">
        <v>2</v>
      </c>
      <c r="I17" s="24" t="s">
        <v>117</v>
      </c>
    </row>
    <row r="18" spans="1:9" ht="68.400000000000006" x14ac:dyDescent="0.3">
      <c r="A18" s="14">
        <v>7</v>
      </c>
      <c r="B18" s="14" t="s">
        <v>30</v>
      </c>
      <c r="C18" s="15" t="s">
        <v>133</v>
      </c>
      <c r="D18" s="16" t="s">
        <v>113</v>
      </c>
      <c r="E18" s="17" t="s">
        <v>134</v>
      </c>
      <c r="F18" s="18" t="s">
        <v>115</v>
      </c>
      <c r="G18" s="19" t="s">
        <v>135</v>
      </c>
      <c r="H18" s="48">
        <v>14</v>
      </c>
      <c r="I18" s="25" t="s">
        <v>210</v>
      </c>
    </row>
    <row r="19" spans="1:9" ht="57" x14ac:dyDescent="0.3">
      <c r="A19" s="14">
        <v>8</v>
      </c>
      <c r="B19" s="14" t="s">
        <v>34</v>
      </c>
      <c r="C19" s="21" t="s">
        <v>136</v>
      </c>
      <c r="D19" s="16" t="s">
        <v>113</v>
      </c>
      <c r="E19" s="22" t="s">
        <v>137</v>
      </c>
      <c r="F19" s="18" t="s">
        <v>115</v>
      </c>
      <c r="G19" s="23" t="s">
        <v>138</v>
      </c>
      <c r="H19" s="48">
        <v>4</v>
      </c>
      <c r="I19" s="24" t="s">
        <v>117</v>
      </c>
    </row>
    <row r="20" spans="1:9" ht="45.6" x14ac:dyDescent="0.3">
      <c r="A20" s="14">
        <v>9</v>
      </c>
      <c r="B20" s="14" t="s">
        <v>60</v>
      </c>
      <c r="C20" s="15" t="s">
        <v>139</v>
      </c>
      <c r="D20" s="16" t="s">
        <v>113</v>
      </c>
      <c r="E20" s="17" t="s">
        <v>140</v>
      </c>
      <c r="F20" s="18" t="s">
        <v>115</v>
      </c>
      <c r="G20" s="19" t="s">
        <v>116</v>
      </c>
      <c r="H20" s="48">
        <v>6</v>
      </c>
      <c r="I20" s="20" t="s">
        <v>117</v>
      </c>
    </row>
    <row r="21" spans="1:9" ht="57" x14ac:dyDescent="0.3">
      <c r="A21" s="14">
        <v>10</v>
      </c>
      <c r="B21" s="14" t="s">
        <v>141</v>
      </c>
      <c r="C21" s="21" t="s">
        <v>142</v>
      </c>
      <c r="D21" s="16" t="s">
        <v>113</v>
      </c>
      <c r="E21" s="22" t="s">
        <v>143</v>
      </c>
      <c r="F21" s="18" t="s">
        <v>115</v>
      </c>
      <c r="G21" s="23" t="s">
        <v>144</v>
      </c>
      <c r="H21" s="48">
        <v>7</v>
      </c>
      <c r="I21" s="24" t="s">
        <v>117</v>
      </c>
    </row>
    <row r="22" spans="1:9" ht="57" x14ac:dyDescent="0.3">
      <c r="A22" s="14">
        <v>11</v>
      </c>
      <c r="B22" s="14" t="s">
        <v>37</v>
      </c>
      <c r="C22" s="15" t="s">
        <v>145</v>
      </c>
      <c r="D22" s="16" t="s">
        <v>113</v>
      </c>
      <c r="E22" s="17" t="s">
        <v>146</v>
      </c>
      <c r="F22" s="26" t="s">
        <v>147</v>
      </c>
      <c r="G22" s="19" t="s">
        <v>144</v>
      </c>
      <c r="H22" s="48">
        <v>3</v>
      </c>
      <c r="I22" s="20" t="s">
        <v>117</v>
      </c>
    </row>
    <row r="23" spans="1:9" ht="57" x14ac:dyDescent="0.3">
      <c r="A23" s="14">
        <v>12</v>
      </c>
      <c r="B23" s="14" t="s">
        <v>41</v>
      </c>
      <c r="C23" s="21" t="s">
        <v>148</v>
      </c>
      <c r="D23" s="16" t="s">
        <v>113</v>
      </c>
      <c r="E23" s="22" t="s">
        <v>149</v>
      </c>
      <c r="F23" s="18" t="s">
        <v>115</v>
      </c>
      <c r="G23" s="23" t="s">
        <v>150</v>
      </c>
      <c r="H23" s="48">
        <v>10</v>
      </c>
      <c r="I23" s="24" t="s">
        <v>117</v>
      </c>
    </row>
    <row r="24" spans="1:9" ht="68.400000000000006" x14ac:dyDescent="0.3">
      <c r="A24" s="14">
        <v>13</v>
      </c>
      <c r="B24" s="14" t="s">
        <v>151</v>
      </c>
      <c r="C24" s="15" t="s">
        <v>152</v>
      </c>
      <c r="D24" s="16" t="s">
        <v>113</v>
      </c>
      <c r="E24" s="17" t="s">
        <v>153</v>
      </c>
      <c r="F24" s="26" t="s">
        <v>147</v>
      </c>
      <c r="G24" s="19" t="s">
        <v>154</v>
      </c>
      <c r="H24" s="48">
        <v>5</v>
      </c>
      <c r="I24" s="27" t="s">
        <v>209</v>
      </c>
    </row>
    <row r="25" spans="1:9" ht="57" x14ac:dyDescent="0.3">
      <c r="A25" s="14">
        <v>14</v>
      </c>
      <c r="B25" s="14" t="s">
        <v>155</v>
      </c>
      <c r="C25" s="21" t="s">
        <v>156</v>
      </c>
      <c r="D25" s="16" t="s">
        <v>113</v>
      </c>
      <c r="E25" s="22" t="s">
        <v>157</v>
      </c>
      <c r="F25" s="26" t="s">
        <v>147</v>
      </c>
      <c r="G25" s="23" t="s">
        <v>158</v>
      </c>
      <c r="H25" s="48">
        <v>4</v>
      </c>
      <c r="I25" s="27" t="s">
        <v>208</v>
      </c>
    </row>
    <row r="26" spans="1:9" ht="57" x14ac:dyDescent="0.3">
      <c r="A26" s="14">
        <v>15</v>
      </c>
      <c r="B26" s="14" t="s">
        <v>159</v>
      </c>
      <c r="C26" s="15" t="s">
        <v>160</v>
      </c>
      <c r="D26" s="16" t="s">
        <v>113</v>
      </c>
      <c r="E26" s="17" t="s">
        <v>161</v>
      </c>
      <c r="F26" s="18" t="s">
        <v>115</v>
      </c>
      <c r="G26" s="19" t="s">
        <v>162</v>
      </c>
      <c r="H26" s="48">
        <v>6</v>
      </c>
      <c r="I26" s="27" t="s">
        <v>206</v>
      </c>
    </row>
    <row r="27" spans="1:9" ht="57" x14ac:dyDescent="0.3">
      <c r="A27" s="14">
        <v>16</v>
      </c>
      <c r="B27" s="14" t="s">
        <v>163</v>
      </c>
      <c r="C27" s="21" t="s">
        <v>164</v>
      </c>
      <c r="D27" s="16" t="s">
        <v>113</v>
      </c>
      <c r="E27" s="22" t="s">
        <v>165</v>
      </c>
      <c r="F27" s="26" t="s">
        <v>147</v>
      </c>
      <c r="G27" s="23" t="s">
        <v>135</v>
      </c>
      <c r="H27" s="48">
        <v>8</v>
      </c>
      <c r="I27" s="27" t="s">
        <v>207</v>
      </c>
    </row>
    <row r="28" spans="1:9" ht="14.4" customHeight="1" x14ac:dyDescent="0.3">
      <c r="A28" s="61" t="s">
        <v>166</v>
      </c>
      <c r="B28" s="62"/>
      <c r="C28" s="62"/>
      <c r="D28" s="62"/>
      <c r="E28" s="62"/>
      <c r="F28" s="62"/>
      <c r="G28" s="62"/>
      <c r="H28" s="62"/>
      <c r="I28" s="62"/>
    </row>
    <row r="29" spans="1:9" ht="45.6" x14ac:dyDescent="0.3">
      <c r="A29" s="14">
        <v>17</v>
      </c>
      <c r="B29" s="14" t="s">
        <v>167</v>
      </c>
      <c r="C29" s="28" t="s">
        <v>168</v>
      </c>
      <c r="D29" s="29" t="s">
        <v>169</v>
      </c>
      <c r="E29" s="30" t="s">
        <v>170</v>
      </c>
      <c r="F29" s="18" t="s">
        <v>115</v>
      </c>
      <c r="G29" s="31" t="s">
        <v>144</v>
      </c>
      <c r="H29" s="48">
        <v>6</v>
      </c>
      <c r="I29" s="32" t="s">
        <v>117</v>
      </c>
    </row>
    <row r="30" spans="1:9" ht="79.8" x14ac:dyDescent="0.3">
      <c r="A30" s="14">
        <v>18</v>
      </c>
      <c r="B30" s="14" t="s">
        <v>171</v>
      </c>
      <c r="C30" s="33" t="s">
        <v>172</v>
      </c>
      <c r="D30" s="29" t="s">
        <v>169</v>
      </c>
      <c r="E30" s="34" t="s">
        <v>173</v>
      </c>
      <c r="F30" s="18" t="s">
        <v>115</v>
      </c>
      <c r="G30" s="35" t="s">
        <v>174</v>
      </c>
      <c r="H30" s="48">
        <v>10</v>
      </c>
      <c r="I30" s="36" t="s">
        <v>117</v>
      </c>
    </row>
    <row r="31" spans="1:9" ht="68.400000000000006" x14ac:dyDescent="0.3">
      <c r="A31" s="14">
        <v>19</v>
      </c>
      <c r="B31" s="14" t="s">
        <v>175</v>
      </c>
      <c r="C31" s="28" t="s">
        <v>176</v>
      </c>
      <c r="D31" s="29" t="s">
        <v>169</v>
      </c>
      <c r="E31" s="30" t="s">
        <v>177</v>
      </c>
      <c r="F31" s="18" t="s">
        <v>115</v>
      </c>
      <c r="G31" s="31" t="s">
        <v>178</v>
      </c>
      <c r="H31" s="48">
        <v>4</v>
      </c>
      <c r="I31" s="32" t="s">
        <v>117</v>
      </c>
    </row>
    <row r="32" spans="1:9" ht="57" x14ac:dyDescent="0.3">
      <c r="A32" s="14">
        <v>20</v>
      </c>
      <c r="B32" s="14" t="s">
        <v>179</v>
      </c>
      <c r="C32" s="33" t="s">
        <v>180</v>
      </c>
      <c r="D32" s="29" t="s">
        <v>169</v>
      </c>
      <c r="E32" s="34" t="s">
        <v>181</v>
      </c>
      <c r="F32" s="26" t="s">
        <v>147</v>
      </c>
      <c r="G32" s="35" t="s">
        <v>178</v>
      </c>
      <c r="H32" s="48">
        <v>4</v>
      </c>
      <c r="I32" s="36" t="s">
        <v>117</v>
      </c>
    </row>
    <row r="33" spans="1:9" ht="79.8" x14ac:dyDescent="0.3">
      <c r="A33" s="14">
        <v>21</v>
      </c>
      <c r="B33" s="14" t="s">
        <v>57</v>
      </c>
      <c r="C33" s="28" t="s">
        <v>182</v>
      </c>
      <c r="D33" s="29" t="s">
        <v>169</v>
      </c>
      <c r="E33" s="30" t="s">
        <v>183</v>
      </c>
      <c r="F33" s="26" t="s">
        <v>147</v>
      </c>
      <c r="G33" s="31" t="s">
        <v>162</v>
      </c>
      <c r="H33" s="48">
        <v>6</v>
      </c>
      <c r="I33" s="32" t="s">
        <v>117</v>
      </c>
    </row>
    <row r="34" spans="1:9" ht="68.400000000000006" x14ac:dyDescent="0.3">
      <c r="A34" s="14">
        <v>22</v>
      </c>
      <c r="B34" s="14" t="s">
        <v>184</v>
      </c>
      <c r="C34" s="33" t="s">
        <v>185</v>
      </c>
      <c r="D34" s="29" t="s">
        <v>169</v>
      </c>
      <c r="E34" s="34" t="s">
        <v>186</v>
      </c>
      <c r="F34" s="18" t="s">
        <v>115</v>
      </c>
      <c r="G34" s="35" t="s">
        <v>150</v>
      </c>
      <c r="H34" s="48">
        <v>5</v>
      </c>
      <c r="I34" s="36" t="s">
        <v>117</v>
      </c>
    </row>
    <row r="35" spans="1:9" ht="14.4" customHeight="1" x14ac:dyDescent="0.3">
      <c r="A35" s="63" t="s">
        <v>187</v>
      </c>
      <c r="B35" s="64"/>
      <c r="C35" s="64"/>
      <c r="D35" s="64"/>
      <c r="E35" s="64"/>
      <c r="F35" s="64"/>
      <c r="G35" s="64"/>
      <c r="H35" s="64"/>
      <c r="I35" s="64"/>
    </row>
    <row r="36" spans="1:9" ht="57" x14ac:dyDescent="0.3">
      <c r="A36" s="14">
        <v>23</v>
      </c>
      <c r="B36" s="14" t="s">
        <v>188</v>
      </c>
      <c r="C36" s="37" t="s">
        <v>189</v>
      </c>
      <c r="D36" s="38" t="s">
        <v>190</v>
      </c>
      <c r="E36" s="39" t="s">
        <v>191</v>
      </c>
      <c r="F36" s="18" t="s">
        <v>115</v>
      </c>
      <c r="G36" s="40" t="s">
        <v>116</v>
      </c>
      <c r="H36" s="41">
        <v>0</v>
      </c>
      <c r="I36" s="42" t="s">
        <v>117</v>
      </c>
    </row>
    <row r="37" spans="1:9" ht="57" x14ac:dyDescent="0.3">
      <c r="A37" s="14">
        <v>24</v>
      </c>
      <c r="B37" s="14" t="s">
        <v>192</v>
      </c>
      <c r="C37" s="43" t="s">
        <v>193</v>
      </c>
      <c r="D37" s="38" t="s">
        <v>190</v>
      </c>
      <c r="E37" s="44" t="s">
        <v>194</v>
      </c>
      <c r="F37" s="18" t="s">
        <v>115</v>
      </c>
      <c r="G37" s="45" t="s">
        <v>178</v>
      </c>
      <c r="H37" s="46">
        <v>0</v>
      </c>
      <c r="I37" s="47" t="s">
        <v>117</v>
      </c>
    </row>
    <row r="38" spans="1:9" ht="45.6" x14ac:dyDescent="0.3">
      <c r="A38" s="14">
        <v>25</v>
      </c>
      <c r="B38" s="14" t="s">
        <v>195</v>
      </c>
      <c r="C38" s="37" t="s">
        <v>196</v>
      </c>
      <c r="D38" s="38" t="s">
        <v>190</v>
      </c>
      <c r="E38" s="39" t="s">
        <v>197</v>
      </c>
      <c r="F38" s="18" t="s">
        <v>115</v>
      </c>
      <c r="G38" s="40" t="s">
        <v>144</v>
      </c>
      <c r="H38" s="41">
        <v>0</v>
      </c>
      <c r="I38" s="42" t="s">
        <v>117</v>
      </c>
    </row>
    <row r="40" spans="1:9" x14ac:dyDescent="0.3">
      <c r="A40" s="52" t="s">
        <v>198</v>
      </c>
      <c r="B40" s="52"/>
      <c r="C40" s="52"/>
      <c r="D40" s="52"/>
      <c r="E40" s="52"/>
      <c r="F40" s="52"/>
      <c r="G40" s="52"/>
      <c r="H40" s="52"/>
      <c r="I40" s="52"/>
    </row>
    <row r="41" spans="1:9" x14ac:dyDescent="0.3">
      <c r="A41" s="53" t="s">
        <v>211</v>
      </c>
      <c r="B41" s="53"/>
      <c r="C41" s="54" t="s">
        <v>199</v>
      </c>
      <c r="D41" s="54"/>
      <c r="E41" s="54"/>
      <c r="F41" s="54"/>
      <c r="G41" s="54"/>
      <c r="H41" s="54"/>
      <c r="I41" s="54"/>
    </row>
    <row r="42" spans="1:9" x14ac:dyDescent="0.3">
      <c r="A42" s="56" t="s">
        <v>212</v>
      </c>
      <c r="B42" s="56"/>
      <c r="C42" s="54" t="s">
        <v>200</v>
      </c>
      <c r="D42" s="54"/>
      <c r="E42" s="54"/>
      <c r="F42" s="54"/>
      <c r="G42" s="54"/>
      <c r="H42" s="54"/>
      <c r="I42" s="54"/>
    </row>
    <row r="43" spans="1:9" x14ac:dyDescent="0.3">
      <c r="A43" s="57" t="s">
        <v>117</v>
      </c>
      <c r="B43" s="57"/>
      <c r="C43" s="54" t="s">
        <v>201</v>
      </c>
      <c r="D43" s="54"/>
      <c r="E43" s="54"/>
      <c r="F43" s="54"/>
      <c r="G43" s="54"/>
      <c r="H43" s="54"/>
      <c r="I43" s="54"/>
    </row>
    <row r="44" spans="1:9" x14ac:dyDescent="0.3">
      <c r="A44" s="58" t="s">
        <v>115</v>
      </c>
      <c r="B44" s="58"/>
      <c r="C44" s="54" t="s">
        <v>202</v>
      </c>
      <c r="D44" s="54"/>
      <c r="E44" s="54"/>
      <c r="F44" s="54"/>
      <c r="G44" s="54"/>
      <c r="H44" s="54"/>
      <c r="I44" s="54"/>
    </row>
    <row r="45" spans="1:9" x14ac:dyDescent="0.3">
      <c r="A45" s="59" t="s">
        <v>147</v>
      </c>
      <c r="B45" s="59"/>
      <c r="C45" s="54" t="s">
        <v>203</v>
      </c>
      <c r="D45" s="54"/>
      <c r="E45" s="54"/>
      <c r="F45" s="54"/>
      <c r="G45" s="54"/>
      <c r="H45" s="54"/>
      <c r="I45" s="54"/>
    </row>
  </sheetData>
  <mergeCells count="29">
    <mergeCell ref="A45:B45"/>
    <mergeCell ref="C45:I45"/>
    <mergeCell ref="A1:I1"/>
    <mergeCell ref="A28:I28"/>
    <mergeCell ref="A35:I35"/>
    <mergeCell ref="G8:I8"/>
    <mergeCell ref="G7:I7"/>
    <mergeCell ref="G6:I6"/>
    <mergeCell ref="G5:I5"/>
    <mergeCell ref="B7:E7"/>
    <mergeCell ref="B8:E8"/>
    <mergeCell ref="A11:I11"/>
    <mergeCell ref="B4:E4"/>
    <mergeCell ref="B5:E5"/>
    <mergeCell ref="B6:E6"/>
    <mergeCell ref="G4:I4"/>
    <mergeCell ref="A42:B42"/>
    <mergeCell ref="C42:I42"/>
    <mergeCell ref="A43:B43"/>
    <mergeCell ref="C43:I43"/>
    <mergeCell ref="A44:B44"/>
    <mergeCell ref="C44:I44"/>
    <mergeCell ref="G3:I3"/>
    <mergeCell ref="G2:I2"/>
    <mergeCell ref="A40:I40"/>
    <mergeCell ref="A41:B41"/>
    <mergeCell ref="C41:I41"/>
    <mergeCell ref="B2:E2"/>
    <mergeCell ref="B3:E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A4949-F99A-485C-A359-1A7E0BEABCB7}">
  <sheetPr>
    <tabColor theme="4" tint="0.59999389629810485"/>
  </sheetPr>
  <dimension ref="A1:G16"/>
  <sheetViews>
    <sheetView topLeftCell="B2" zoomScale="70" zoomScaleNormal="70" workbookViewId="0">
      <selection activeCell="B14" sqref="B14"/>
    </sheetView>
  </sheetViews>
  <sheetFormatPr baseColWidth="10" defaultRowHeight="14.4" x14ac:dyDescent="0.3"/>
  <cols>
    <col min="2" max="2" width="56.6640625" customWidth="1"/>
    <col min="3" max="3" width="60.5546875" customWidth="1"/>
  </cols>
  <sheetData>
    <row r="1" spans="1:7" ht="17.399999999999999" x14ac:dyDescent="0.3">
      <c r="A1" s="68" t="s">
        <v>0</v>
      </c>
      <c r="B1" s="68"/>
      <c r="C1" s="68"/>
      <c r="D1" s="68"/>
      <c r="E1" s="68"/>
      <c r="F1" s="68"/>
      <c r="G1" s="68"/>
    </row>
    <row r="2" spans="1:7" ht="26.4" x14ac:dyDescent="0.3">
      <c r="A2" s="1" t="s">
        <v>1</v>
      </c>
      <c r="B2" s="1" t="s">
        <v>2</v>
      </c>
      <c r="C2" s="1" t="s">
        <v>3</v>
      </c>
      <c r="D2" s="1" t="s">
        <v>4</v>
      </c>
      <c r="E2" s="1" t="s">
        <v>5</v>
      </c>
      <c r="F2" s="1" t="s">
        <v>216</v>
      </c>
      <c r="G2" s="1" t="s">
        <v>6</v>
      </c>
    </row>
    <row r="3" spans="1:7" ht="66.599999999999994" customHeight="1" x14ac:dyDescent="0.3">
      <c r="A3" s="2" t="s">
        <v>7</v>
      </c>
      <c r="B3" s="3" t="s">
        <v>8</v>
      </c>
      <c r="C3" s="3" t="s">
        <v>9</v>
      </c>
      <c r="D3" s="2" t="s">
        <v>10</v>
      </c>
      <c r="E3" s="2" t="s">
        <v>11</v>
      </c>
      <c r="F3" s="48">
        <v>7</v>
      </c>
      <c r="G3" s="4" t="s">
        <v>12</v>
      </c>
    </row>
    <row r="4" spans="1:7" ht="63.6" customHeight="1" x14ac:dyDescent="0.3">
      <c r="A4" s="5" t="s">
        <v>13</v>
      </c>
      <c r="B4" s="6" t="s">
        <v>14</v>
      </c>
      <c r="C4" s="70" t="s">
        <v>218</v>
      </c>
      <c r="D4" s="5" t="s">
        <v>15</v>
      </c>
      <c r="E4" s="5" t="s">
        <v>11</v>
      </c>
      <c r="F4" s="48">
        <v>7</v>
      </c>
      <c r="G4" s="4" t="s">
        <v>12</v>
      </c>
    </row>
    <row r="5" spans="1:7" ht="79.8" customHeight="1" x14ac:dyDescent="0.3">
      <c r="A5" s="2" t="s">
        <v>16</v>
      </c>
      <c r="B5" s="3" t="s">
        <v>17</v>
      </c>
      <c r="C5" s="71" t="s">
        <v>217</v>
      </c>
      <c r="D5" s="2" t="s">
        <v>18</v>
      </c>
      <c r="E5" s="2" t="s">
        <v>11</v>
      </c>
      <c r="F5" s="48">
        <v>5</v>
      </c>
      <c r="G5" s="4" t="s">
        <v>12</v>
      </c>
    </row>
    <row r="6" spans="1:7" ht="72" customHeight="1" x14ac:dyDescent="0.3">
      <c r="A6" s="5" t="s">
        <v>19</v>
      </c>
      <c r="B6" s="6" t="s">
        <v>20</v>
      </c>
      <c r="C6" s="70" t="s">
        <v>219</v>
      </c>
      <c r="D6" s="5" t="s">
        <v>21</v>
      </c>
      <c r="E6" s="5" t="s">
        <v>11</v>
      </c>
      <c r="F6" s="48">
        <v>6</v>
      </c>
      <c r="G6" s="4" t="s">
        <v>12</v>
      </c>
    </row>
    <row r="7" spans="1:7" ht="79.2" customHeight="1" x14ac:dyDescent="0.3">
      <c r="A7" s="2" t="s">
        <v>22</v>
      </c>
      <c r="B7" s="3" t="s">
        <v>23</v>
      </c>
      <c r="C7" s="71" t="s">
        <v>220</v>
      </c>
      <c r="D7" s="2" t="s">
        <v>24</v>
      </c>
      <c r="E7" s="2" t="s">
        <v>11</v>
      </c>
      <c r="F7" s="48">
        <v>5</v>
      </c>
      <c r="G7" s="4" t="s">
        <v>12</v>
      </c>
    </row>
    <row r="8" spans="1:7" ht="62.4" customHeight="1" x14ac:dyDescent="0.3">
      <c r="A8" s="5" t="s">
        <v>25</v>
      </c>
      <c r="B8" s="6" t="s">
        <v>26</v>
      </c>
      <c r="C8" s="70" t="s">
        <v>221</v>
      </c>
      <c r="D8" s="5" t="s">
        <v>27</v>
      </c>
      <c r="E8" s="5" t="s">
        <v>11</v>
      </c>
      <c r="F8" s="48">
        <v>2</v>
      </c>
      <c r="G8" s="4" t="s">
        <v>12</v>
      </c>
    </row>
    <row r="9" spans="1:7" ht="72" customHeight="1" x14ac:dyDescent="0.3">
      <c r="A9" s="2" t="s">
        <v>28</v>
      </c>
      <c r="B9" s="3" t="s">
        <v>29</v>
      </c>
      <c r="C9" s="71" t="s">
        <v>222</v>
      </c>
      <c r="D9" s="2" t="s">
        <v>30</v>
      </c>
      <c r="E9" s="2" t="s">
        <v>11</v>
      </c>
      <c r="F9" s="48">
        <v>7</v>
      </c>
      <c r="G9" s="7" t="s">
        <v>31</v>
      </c>
    </row>
    <row r="10" spans="1:7" ht="59.4" customHeight="1" x14ac:dyDescent="0.3">
      <c r="A10" s="5" t="s">
        <v>32</v>
      </c>
      <c r="B10" s="6" t="s">
        <v>33</v>
      </c>
      <c r="C10" s="70" t="s">
        <v>223</v>
      </c>
      <c r="D10" s="5" t="s">
        <v>34</v>
      </c>
      <c r="E10" s="5" t="s">
        <v>11</v>
      </c>
      <c r="F10" s="48">
        <v>5</v>
      </c>
      <c r="G10" s="7" t="s">
        <v>31</v>
      </c>
    </row>
    <row r="11" spans="1:7" ht="65.400000000000006" customHeight="1" x14ac:dyDescent="0.3">
      <c r="A11" s="2" t="s">
        <v>35</v>
      </c>
      <c r="B11" s="3" t="s">
        <v>36</v>
      </c>
      <c r="C11" s="71" t="s">
        <v>224</v>
      </c>
      <c r="D11" s="2" t="s">
        <v>37</v>
      </c>
      <c r="E11" s="2" t="s">
        <v>38</v>
      </c>
      <c r="F11" s="48">
        <v>3</v>
      </c>
      <c r="G11" s="4" t="s">
        <v>12</v>
      </c>
    </row>
    <row r="12" spans="1:7" ht="68.400000000000006" customHeight="1" x14ac:dyDescent="0.3">
      <c r="A12" s="5" t="s">
        <v>39</v>
      </c>
      <c r="B12" s="6" t="s">
        <v>40</v>
      </c>
      <c r="C12" s="70" t="s">
        <v>225</v>
      </c>
      <c r="D12" s="5" t="s">
        <v>41</v>
      </c>
      <c r="E12" s="5" t="s">
        <v>11</v>
      </c>
      <c r="F12" s="48">
        <v>4</v>
      </c>
      <c r="G12" s="4" t="s">
        <v>12</v>
      </c>
    </row>
    <row r="13" spans="1:7" ht="64.2" customHeight="1" x14ac:dyDescent="0.3">
      <c r="A13" s="2" t="s">
        <v>42</v>
      </c>
      <c r="B13" s="3" t="s">
        <v>43</v>
      </c>
      <c r="C13" s="71" t="s">
        <v>226</v>
      </c>
      <c r="D13" s="2" t="s">
        <v>151</v>
      </c>
      <c r="E13" s="2" t="s">
        <v>38</v>
      </c>
      <c r="F13" s="48">
        <v>5</v>
      </c>
      <c r="G13" s="7" t="s">
        <v>31</v>
      </c>
    </row>
    <row r="14" spans="1:7" ht="74.400000000000006" customHeight="1" x14ac:dyDescent="0.3">
      <c r="A14" s="5" t="s">
        <v>44</v>
      </c>
      <c r="B14" s="6" t="s">
        <v>45</v>
      </c>
      <c r="C14" s="70" t="s">
        <v>227</v>
      </c>
      <c r="D14" s="5" t="s">
        <v>163</v>
      </c>
      <c r="E14" s="5" t="s">
        <v>38</v>
      </c>
      <c r="F14" s="48">
        <v>3</v>
      </c>
      <c r="G14" s="7" t="s">
        <v>31</v>
      </c>
    </row>
    <row r="15" spans="1:7" ht="81.599999999999994" customHeight="1" x14ac:dyDescent="0.3">
      <c r="A15" s="2" t="s">
        <v>46</v>
      </c>
      <c r="B15" s="3" t="s">
        <v>47</v>
      </c>
      <c r="C15" s="71" t="s">
        <v>228</v>
      </c>
      <c r="D15" s="2" t="s">
        <v>155</v>
      </c>
      <c r="E15" s="2" t="s">
        <v>38</v>
      </c>
      <c r="F15" s="48">
        <v>4</v>
      </c>
      <c r="G15" s="8" t="s">
        <v>48</v>
      </c>
    </row>
    <row r="16" spans="1:7" x14ac:dyDescent="0.3">
      <c r="A16" s="69" t="s">
        <v>49</v>
      </c>
      <c r="B16" s="69"/>
      <c r="C16" s="69"/>
      <c r="D16" s="69"/>
      <c r="E16" s="69"/>
      <c r="F16" s="9">
        <f>SUM(F3:F15)</f>
        <v>63</v>
      </c>
      <c r="G16" s="10"/>
    </row>
  </sheetData>
  <mergeCells count="2">
    <mergeCell ref="A1:G1"/>
    <mergeCell ref="A16:E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75EF5-CAB0-478B-9118-C31BCD04102D}">
  <sheetPr>
    <tabColor theme="6" tint="0.59999389629810485"/>
  </sheetPr>
  <dimension ref="A1:H18"/>
  <sheetViews>
    <sheetView topLeftCell="A13" zoomScale="85" zoomScaleNormal="85" workbookViewId="0">
      <selection activeCell="C4" sqref="C4"/>
    </sheetView>
  </sheetViews>
  <sheetFormatPr baseColWidth="10" defaultRowHeight="14.4" x14ac:dyDescent="0.3"/>
  <cols>
    <col min="2" max="2" width="56.5546875" customWidth="1"/>
    <col min="3" max="3" width="55.77734375" customWidth="1"/>
  </cols>
  <sheetData>
    <row r="1" spans="1:8" ht="17.399999999999999" customHeight="1" x14ac:dyDescent="0.3">
      <c r="A1" s="96" t="s">
        <v>50</v>
      </c>
      <c r="B1" s="96"/>
      <c r="C1" s="96"/>
      <c r="D1" s="96"/>
      <c r="E1" s="96"/>
      <c r="F1" s="96"/>
      <c r="G1" s="96"/>
      <c r="H1" s="96"/>
    </row>
    <row r="2" spans="1:8" ht="26.4" x14ac:dyDescent="0.3">
      <c r="A2" s="1" t="s">
        <v>1</v>
      </c>
      <c r="B2" s="1" t="s">
        <v>51</v>
      </c>
      <c r="C2" s="1" t="s">
        <v>52</v>
      </c>
      <c r="D2" s="1" t="s">
        <v>4</v>
      </c>
      <c r="E2" s="1" t="s">
        <v>5</v>
      </c>
      <c r="F2" s="95" t="s">
        <v>216</v>
      </c>
      <c r="G2" s="1" t="s">
        <v>6</v>
      </c>
      <c r="H2" s="95" t="s">
        <v>270</v>
      </c>
    </row>
    <row r="3" spans="1:8" ht="90.6" customHeight="1" x14ac:dyDescent="0.3">
      <c r="A3" s="72" t="s">
        <v>53</v>
      </c>
      <c r="B3" s="99" t="s">
        <v>229</v>
      </c>
      <c r="C3" s="99" t="s">
        <v>271</v>
      </c>
      <c r="D3" s="73" t="s">
        <v>54</v>
      </c>
      <c r="E3" s="11" t="s">
        <v>11</v>
      </c>
      <c r="F3" s="76">
        <v>3</v>
      </c>
      <c r="G3" s="86" t="s">
        <v>55</v>
      </c>
      <c r="H3" s="86" t="s">
        <v>105</v>
      </c>
    </row>
    <row r="4" spans="1:8" ht="90" customHeight="1" x14ac:dyDescent="0.3">
      <c r="A4" s="72" t="s">
        <v>56</v>
      </c>
      <c r="B4" s="100" t="s">
        <v>230</v>
      </c>
      <c r="C4" s="100" t="s">
        <v>272</v>
      </c>
      <c r="D4" s="74" t="s">
        <v>248</v>
      </c>
      <c r="E4" s="5" t="s">
        <v>11</v>
      </c>
      <c r="F4" s="76">
        <v>3</v>
      </c>
      <c r="G4" s="87" t="s">
        <v>255</v>
      </c>
      <c r="H4" s="87" t="s">
        <v>261</v>
      </c>
    </row>
    <row r="5" spans="1:8" ht="78" customHeight="1" x14ac:dyDescent="0.3">
      <c r="A5" s="72" t="s">
        <v>59</v>
      </c>
      <c r="B5" s="99" t="s">
        <v>231</v>
      </c>
      <c r="C5" s="99" t="s">
        <v>273</v>
      </c>
      <c r="D5" s="73" t="s">
        <v>57</v>
      </c>
      <c r="E5" s="11" t="s">
        <v>11</v>
      </c>
      <c r="F5" s="76">
        <v>4</v>
      </c>
      <c r="G5" s="88" t="s">
        <v>58</v>
      </c>
      <c r="H5" s="88" t="s">
        <v>262</v>
      </c>
    </row>
    <row r="6" spans="1:8" ht="67.2" customHeight="1" x14ac:dyDescent="0.3">
      <c r="A6" s="72" t="s">
        <v>61</v>
      </c>
      <c r="B6" s="100" t="s">
        <v>232</v>
      </c>
      <c r="C6" s="100" t="s">
        <v>274</v>
      </c>
      <c r="D6" s="74" t="s">
        <v>249</v>
      </c>
      <c r="E6" s="5" t="s">
        <v>11</v>
      </c>
      <c r="F6" s="76">
        <v>3</v>
      </c>
      <c r="G6" s="88" t="s">
        <v>58</v>
      </c>
      <c r="H6" s="88" t="s">
        <v>262</v>
      </c>
    </row>
    <row r="7" spans="1:8" ht="73.8" customHeight="1" x14ac:dyDescent="0.3">
      <c r="A7" s="72" t="s">
        <v>64</v>
      </c>
      <c r="B7" s="99" t="s">
        <v>233</v>
      </c>
      <c r="C7" s="99" t="s">
        <v>275</v>
      </c>
      <c r="D7" s="73" t="s">
        <v>69</v>
      </c>
      <c r="E7" s="11" t="s">
        <v>11</v>
      </c>
      <c r="F7" s="76">
        <v>7</v>
      </c>
      <c r="G7" s="89" t="s">
        <v>63</v>
      </c>
      <c r="H7" s="89" t="s">
        <v>263</v>
      </c>
    </row>
    <row r="8" spans="1:8" ht="67.8" customHeight="1" x14ac:dyDescent="0.3">
      <c r="A8" s="72" t="s">
        <v>65</v>
      </c>
      <c r="B8" s="100" t="s">
        <v>234</v>
      </c>
      <c r="C8" s="100" t="s">
        <v>276</v>
      </c>
      <c r="D8" s="74" t="s">
        <v>62</v>
      </c>
      <c r="E8" s="5" t="s">
        <v>11</v>
      </c>
      <c r="F8" s="76">
        <v>7</v>
      </c>
      <c r="G8" s="90" t="s">
        <v>12</v>
      </c>
      <c r="H8" s="90" t="s">
        <v>264</v>
      </c>
    </row>
    <row r="9" spans="1:8" ht="88.8" customHeight="1" x14ac:dyDescent="0.3">
      <c r="A9" s="72" t="s">
        <v>66</v>
      </c>
      <c r="B9" s="99" t="s">
        <v>235</v>
      </c>
      <c r="C9" s="99" t="s">
        <v>277</v>
      </c>
      <c r="D9" s="73" t="s">
        <v>250</v>
      </c>
      <c r="E9" s="11" t="s">
        <v>11</v>
      </c>
      <c r="F9" s="76">
        <v>4</v>
      </c>
      <c r="G9" s="91" t="s">
        <v>31</v>
      </c>
      <c r="H9" s="91" t="s">
        <v>265</v>
      </c>
    </row>
    <row r="10" spans="1:8" ht="79.2" customHeight="1" x14ac:dyDescent="0.3">
      <c r="A10" s="72" t="s">
        <v>68</v>
      </c>
      <c r="B10" s="100" t="s">
        <v>236</v>
      </c>
      <c r="C10" s="100" t="s">
        <v>278</v>
      </c>
      <c r="D10" s="74" t="s">
        <v>251</v>
      </c>
      <c r="E10" s="5" t="s">
        <v>11</v>
      </c>
      <c r="F10" s="76">
        <v>5</v>
      </c>
      <c r="G10" s="92" t="s">
        <v>256</v>
      </c>
      <c r="H10" s="92" t="s">
        <v>266</v>
      </c>
    </row>
    <row r="11" spans="1:8" ht="66" customHeight="1" x14ac:dyDescent="0.3">
      <c r="A11" s="72" t="s">
        <v>70</v>
      </c>
      <c r="B11" s="99" t="s">
        <v>237</v>
      </c>
      <c r="C11" s="99" t="s">
        <v>279</v>
      </c>
      <c r="D11" s="73" t="s">
        <v>252</v>
      </c>
      <c r="E11" s="11" t="s">
        <v>11</v>
      </c>
      <c r="F11" s="76">
        <v>4</v>
      </c>
      <c r="G11" s="92" t="s">
        <v>256</v>
      </c>
      <c r="H11" s="92" t="s">
        <v>266</v>
      </c>
    </row>
    <row r="12" spans="1:8" ht="80.400000000000006" customHeight="1" x14ac:dyDescent="0.3">
      <c r="A12" s="72" t="s">
        <v>71</v>
      </c>
      <c r="B12" s="100" t="s">
        <v>238</v>
      </c>
      <c r="C12" s="100" t="s">
        <v>280</v>
      </c>
      <c r="D12" s="74" t="s">
        <v>67</v>
      </c>
      <c r="E12" s="11" t="s">
        <v>11</v>
      </c>
      <c r="F12" s="76">
        <v>4</v>
      </c>
      <c r="G12" s="93" t="s">
        <v>257</v>
      </c>
      <c r="H12" s="93" t="s">
        <v>267</v>
      </c>
    </row>
    <row r="13" spans="1:8" ht="83.4" customHeight="1" x14ac:dyDescent="0.3">
      <c r="A13" s="72" t="s">
        <v>73</v>
      </c>
      <c r="B13" s="99" t="s">
        <v>239</v>
      </c>
      <c r="C13" s="99" t="s">
        <v>281</v>
      </c>
      <c r="D13" s="73" t="s">
        <v>253</v>
      </c>
      <c r="E13" s="11" t="s">
        <v>11</v>
      </c>
      <c r="F13" s="76">
        <v>5</v>
      </c>
      <c r="G13" s="93" t="s">
        <v>257</v>
      </c>
      <c r="H13" s="93" t="s">
        <v>267</v>
      </c>
    </row>
    <row r="14" spans="1:8" ht="70.8" customHeight="1" x14ac:dyDescent="0.3">
      <c r="A14" s="72" t="s">
        <v>240</v>
      </c>
      <c r="B14" s="100" t="s">
        <v>241</v>
      </c>
      <c r="C14" s="100" t="s">
        <v>282</v>
      </c>
      <c r="D14" s="74" t="s">
        <v>254</v>
      </c>
      <c r="E14" s="5" t="s">
        <v>11</v>
      </c>
      <c r="F14" s="76">
        <v>6</v>
      </c>
      <c r="G14" s="94" t="s">
        <v>258</v>
      </c>
      <c r="H14" s="94" t="s">
        <v>268</v>
      </c>
    </row>
    <row r="15" spans="1:8" ht="67.2" customHeight="1" x14ac:dyDescent="0.3">
      <c r="A15" s="72" t="s">
        <v>242</v>
      </c>
      <c r="B15" s="99" t="s">
        <v>243</v>
      </c>
      <c r="C15" s="99" t="s">
        <v>283</v>
      </c>
      <c r="D15" s="73" t="s">
        <v>155</v>
      </c>
      <c r="E15" s="11" t="s">
        <v>11</v>
      </c>
      <c r="F15" s="76">
        <v>4</v>
      </c>
      <c r="G15" s="94" t="s">
        <v>258</v>
      </c>
      <c r="H15" s="94" t="s">
        <v>268</v>
      </c>
    </row>
    <row r="16" spans="1:8" ht="81.599999999999994" customHeight="1" x14ac:dyDescent="0.3">
      <c r="A16" s="72" t="s">
        <v>244</v>
      </c>
      <c r="B16" s="100" t="s">
        <v>245</v>
      </c>
      <c r="C16" s="100" t="s">
        <v>284</v>
      </c>
      <c r="D16" s="74" t="s">
        <v>74</v>
      </c>
      <c r="E16" s="5" t="s">
        <v>38</v>
      </c>
      <c r="F16" s="76">
        <v>5</v>
      </c>
      <c r="G16" s="90" t="s">
        <v>259</v>
      </c>
      <c r="H16" s="90" t="s">
        <v>269</v>
      </c>
    </row>
    <row r="17" spans="1:8" ht="72" customHeight="1" x14ac:dyDescent="0.3">
      <c r="A17" s="72" t="s">
        <v>246</v>
      </c>
      <c r="B17" s="99" t="s">
        <v>247</v>
      </c>
      <c r="C17" s="99" t="s">
        <v>285</v>
      </c>
      <c r="D17" s="73" t="s">
        <v>57</v>
      </c>
      <c r="E17" s="75" t="s">
        <v>38</v>
      </c>
      <c r="F17" s="76">
        <v>3</v>
      </c>
      <c r="G17" s="90" t="s">
        <v>259</v>
      </c>
      <c r="H17" s="90" t="s">
        <v>269</v>
      </c>
    </row>
    <row r="18" spans="1:8" x14ac:dyDescent="0.3">
      <c r="A18" s="69" t="s">
        <v>75</v>
      </c>
      <c r="B18" s="69"/>
      <c r="C18" s="69"/>
      <c r="D18" s="69"/>
      <c r="E18" s="69"/>
      <c r="F18" s="9">
        <f>SUM(F3:F17)</f>
        <v>67</v>
      </c>
      <c r="G18" s="97"/>
      <c r="H18" s="98"/>
    </row>
  </sheetData>
  <mergeCells count="3">
    <mergeCell ref="A18:E18"/>
    <mergeCell ref="A1:H1"/>
    <mergeCell ref="G18:H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E112A-4544-4EDF-BC89-A1501417A049}">
  <sheetPr>
    <tabColor theme="5" tint="0.39997558519241921"/>
  </sheetPr>
  <dimension ref="A1:J47"/>
  <sheetViews>
    <sheetView tabSelected="1" zoomScaleNormal="100" workbookViewId="0">
      <selection activeCell="E49" sqref="E49"/>
    </sheetView>
  </sheetViews>
  <sheetFormatPr baseColWidth="10" defaultRowHeight="14.4" x14ac:dyDescent="0.3"/>
  <cols>
    <col min="2" max="2" width="36.109375" customWidth="1"/>
    <col min="3" max="3" width="10.33203125" customWidth="1"/>
    <col min="4" max="4" width="9.109375" customWidth="1"/>
    <col min="5" max="5" width="52.21875" customWidth="1"/>
    <col min="10" max="10" width="54.21875" customWidth="1"/>
  </cols>
  <sheetData>
    <row r="1" spans="1:10" ht="17.399999999999999" customHeight="1" x14ac:dyDescent="0.3">
      <c r="A1" s="96" t="s">
        <v>80</v>
      </c>
      <c r="B1" s="96"/>
      <c r="C1" s="96"/>
      <c r="D1" s="96"/>
      <c r="E1" s="96"/>
      <c r="F1" s="96"/>
      <c r="G1" s="96"/>
      <c r="H1" s="96"/>
      <c r="I1" s="96"/>
      <c r="J1" s="96"/>
    </row>
    <row r="2" spans="1:10" x14ac:dyDescent="0.3">
      <c r="A2" s="155" t="s">
        <v>6</v>
      </c>
      <c r="B2" s="155" t="s">
        <v>76</v>
      </c>
      <c r="C2" s="155" t="s">
        <v>77</v>
      </c>
      <c r="D2" s="155" t="s">
        <v>1</v>
      </c>
      <c r="E2" s="155" t="s">
        <v>286</v>
      </c>
      <c r="F2" s="155" t="s">
        <v>5</v>
      </c>
      <c r="G2" s="155" t="s">
        <v>260</v>
      </c>
      <c r="H2" s="155" t="s">
        <v>287</v>
      </c>
      <c r="I2" s="155" t="s">
        <v>288</v>
      </c>
      <c r="J2" s="155" t="s">
        <v>362</v>
      </c>
    </row>
    <row r="3" spans="1:10" ht="62.4" customHeight="1" x14ac:dyDescent="0.3">
      <c r="A3" s="77" t="s">
        <v>55</v>
      </c>
      <c r="B3" s="137" t="s">
        <v>289</v>
      </c>
      <c r="C3" s="101" t="s">
        <v>78</v>
      </c>
      <c r="D3" s="102" t="s">
        <v>53</v>
      </c>
      <c r="E3" s="100" t="s">
        <v>229</v>
      </c>
      <c r="F3" s="153" t="s">
        <v>11</v>
      </c>
      <c r="G3" s="86" t="s">
        <v>105</v>
      </c>
      <c r="H3" s="86" t="s">
        <v>290</v>
      </c>
      <c r="I3" s="103">
        <v>3</v>
      </c>
      <c r="J3" s="118" t="s">
        <v>334</v>
      </c>
    </row>
    <row r="4" spans="1:10" ht="53.4" customHeight="1" x14ac:dyDescent="0.3">
      <c r="A4" s="78" t="s">
        <v>255</v>
      </c>
      <c r="B4" s="138" t="s">
        <v>291</v>
      </c>
      <c r="C4" s="104" t="s">
        <v>78</v>
      </c>
      <c r="D4" s="102" t="s">
        <v>56</v>
      </c>
      <c r="E4" s="99" t="s">
        <v>230</v>
      </c>
      <c r="F4" s="153" t="s">
        <v>11</v>
      </c>
      <c r="G4" s="87" t="s">
        <v>261</v>
      </c>
      <c r="H4" s="87" t="s">
        <v>292</v>
      </c>
      <c r="I4" s="103">
        <v>3</v>
      </c>
      <c r="J4" s="118" t="s">
        <v>335</v>
      </c>
    </row>
    <row r="5" spans="1:10" ht="63" customHeight="1" x14ac:dyDescent="0.3">
      <c r="A5" s="105" t="s">
        <v>58</v>
      </c>
      <c r="B5" s="121" t="s">
        <v>293</v>
      </c>
      <c r="C5" s="101" t="s">
        <v>78</v>
      </c>
      <c r="D5" s="102" t="s">
        <v>59</v>
      </c>
      <c r="E5" s="100" t="s">
        <v>231</v>
      </c>
      <c r="F5" s="153" t="s">
        <v>11</v>
      </c>
      <c r="G5" s="88" t="s">
        <v>262</v>
      </c>
      <c r="H5" s="88" t="s">
        <v>294</v>
      </c>
      <c r="I5" s="103">
        <v>4</v>
      </c>
      <c r="J5" s="118" t="s">
        <v>336</v>
      </c>
    </row>
    <row r="6" spans="1:10" ht="61.8" customHeight="1" x14ac:dyDescent="0.3">
      <c r="A6" s="105"/>
      <c r="B6" s="122"/>
      <c r="C6" s="104" t="s">
        <v>78</v>
      </c>
      <c r="D6" s="102" t="s">
        <v>61</v>
      </c>
      <c r="E6" s="99" t="s">
        <v>232</v>
      </c>
      <c r="F6" s="153" t="s">
        <v>11</v>
      </c>
      <c r="G6" s="88" t="s">
        <v>262</v>
      </c>
      <c r="H6" s="88" t="s">
        <v>294</v>
      </c>
      <c r="I6" s="103">
        <v>3</v>
      </c>
      <c r="J6" s="118" t="s">
        <v>337</v>
      </c>
    </row>
    <row r="7" spans="1:10" ht="64.8" customHeight="1" x14ac:dyDescent="0.3">
      <c r="A7" s="80" t="s">
        <v>63</v>
      </c>
      <c r="B7" s="139" t="s">
        <v>295</v>
      </c>
      <c r="C7" s="101" t="s">
        <v>78</v>
      </c>
      <c r="D7" s="102" t="s">
        <v>64</v>
      </c>
      <c r="E7" s="100" t="s">
        <v>233</v>
      </c>
      <c r="F7" s="153" t="s">
        <v>11</v>
      </c>
      <c r="G7" s="89" t="s">
        <v>263</v>
      </c>
      <c r="H7" s="89" t="s">
        <v>296</v>
      </c>
      <c r="I7" s="103">
        <v>7</v>
      </c>
      <c r="J7" s="118" t="s">
        <v>338</v>
      </c>
    </row>
    <row r="8" spans="1:10" ht="79.2" customHeight="1" x14ac:dyDescent="0.3">
      <c r="A8" s="81" t="s">
        <v>12</v>
      </c>
      <c r="B8" s="140" t="s">
        <v>297</v>
      </c>
      <c r="C8" s="104" t="s">
        <v>78</v>
      </c>
      <c r="D8" s="102" t="s">
        <v>65</v>
      </c>
      <c r="E8" s="99" t="s">
        <v>234</v>
      </c>
      <c r="F8" s="153" t="s">
        <v>11</v>
      </c>
      <c r="G8" s="90" t="s">
        <v>264</v>
      </c>
      <c r="H8" s="90" t="s">
        <v>298</v>
      </c>
      <c r="I8" s="103">
        <v>7</v>
      </c>
      <c r="J8" s="118" t="s">
        <v>339</v>
      </c>
    </row>
    <row r="9" spans="1:10" ht="49.2" customHeight="1" x14ac:dyDescent="0.3">
      <c r="A9" s="106" t="s">
        <v>31</v>
      </c>
      <c r="B9" s="123" t="s">
        <v>299</v>
      </c>
      <c r="C9" s="101" t="s">
        <v>78</v>
      </c>
      <c r="D9" s="102" t="s">
        <v>66</v>
      </c>
      <c r="E9" s="100" t="s">
        <v>235</v>
      </c>
      <c r="F9" s="153" t="s">
        <v>11</v>
      </c>
      <c r="G9" s="91" t="s">
        <v>265</v>
      </c>
      <c r="H9" s="91" t="s">
        <v>300</v>
      </c>
      <c r="I9" s="103">
        <v>4</v>
      </c>
      <c r="J9" s="118" t="s">
        <v>340</v>
      </c>
    </row>
    <row r="10" spans="1:10" ht="46.8" customHeight="1" x14ac:dyDescent="0.3">
      <c r="A10" s="106"/>
      <c r="B10" s="124"/>
      <c r="C10" s="107" t="s">
        <v>79</v>
      </c>
      <c r="D10" s="102" t="s">
        <v>7</v>
      </c>
      <c r="E10" s="119" t="s">
        <v>331</v>
      </c>
      <c r="F10" s="153" t="s">
        <v>11</v>
      </c>
      <c r="G10" s="91" t="s">
        <v>265</v>
      </c>
      <c r="H10" s="91" t="s">
        <v>300</v>
      </c>
      <c r="I10" s="103">
        <v>7</v>
      </c>
      <c r="J10" s="118" t="s">
        <v>341</v>
      </c>
    </row>
    <row r="11" spans="1:10" ht="40.799999999999997" customHeight="1" x14ac:dyDescent="0.3">
      <c r="A11" s="106"/>
      <c r="B11" s="124"/>
      <c r="C11" s="108" t="s">
        <v>79</v>
      </c>
      <c r="D11" s="102" t="s">
        <v>35</v>
      </c>
      <c r="E11" s="120" t="s">
        <v>36</v>
      </c>
      <c r="F11" s="154" t="s">
        <v>38</v>
      </c>
      <c r="G11" s="91" t="s">
        <v>265</v>
      </c>
      <c r="H11" s="91" t="s">
        <v>300</v>
      </c>
      <c r="I11" s="103">
        <v>3</v>
      </c>
      <c r="J11" s="118" t="s">
        <v>342</v>
      </c>
    </row>
    <row r="12" spans="1:10" ht="44.4" customHeight="1" x14ac:dyDescent="0.3">
      <c r="A12" s="109" t="s">
        <v>48</v>
      </c>
      <c r="B12" s="125" t="s">
        <v>301</v>
      </c>
      <c r="C12" s="107" t="s">
        <v>79</v>
      </c>
      <c r="D12" s="102" t="s">
        <v>13</v>
      </c>
      <c r="E12" s="119" t="s">
        <v>332</v>
      </c>
      <c r="F12" s="153" t="s">
        <v>11</v>
      </c>
      <c r="G12" s="87" t="s">
        <v>302</v>
      </c>
      <c r="H12" s="87" t="s">
        <v>303</v>
      </c>
      <c r="I12" s="103">
        <v>7</v>
      </c>
      <c r="J12" s="118" t="s">
        <v>343</v>
      </c>
    </row>
    <row r="13" spans="1:10" ht="51.6" customHeight="1" x14ac:dyDescent="0.3">
      <c r="A13" s="109"/>
      <c r="B13" s="126"/>
      <c r="C13" s="108" t="s">
        <v>79</v>
      </c>
      <c r="D13" s="102" t="s">
        <v>16</v>
      </c>
      <c r="E13" s="120" t="s">
        <v>17</v>
      </c>
      <c r="F13" s="153" t="s">
        <v>11</v>
      </c>
      <c r="G13" s="87" t="s">
        <v>302</v>
      </c>
      <c r="H13" s="87" t="s">
        <v>303</v>
      </c>
      <c r="I13" s="103">
        <v>5</v>
      </c>
      <c r="J13" s="118" t="s">
        <v>344</v>
      </c>
    </row>
    <row r="14" spans="1:10" ht="36" customHeight="1" x14ac:dyDescent="0.3">
      <c r="A14" s="109"/>
      <c r="B14" s="126"/>
      <c r="C14" s="107" t="s">
        <v>79</v>
      </c>
      <c r="D14" s="102" t="s">
        <v>19</v>
      </c>
      <c r="E14" s="119" t="s">
        <v>20</v>
      </c>
      <c r="F14" s="153" t="s">
        <v>11</v>
      </c>
      <c r="G14" s="87" t="s">
        <v>302</v>
      </c>
      <c r="H14" s="87" t="s">
        <v>303</v>
      </c>
      <c r="I14" s="103">
        <v>6</v>
      </c>
      <c r="J14" s="118" t="s">
        <v>345</v>
      </c>
    </row>
    <row r="15" spans="1:10" ht="55.8" customHeight="1" x14ac:dyDescent="0.3">
      <c r="A15" s="110" t="s">
        <v>72</v>
      </c>
      <c r="B15" s="127" t="s">
        <v>304</v>
      </c>
      <c r="C15" s="108" t="s">
        <v>79</v>
      </c>
      <c r="D15" s="102" t="s">
        <v>22</v>
      </c>
      <c r="E15" s="120" t="s">
        <v>23</v>
      </c>
      <c r="F15" s="153" t="s">
        <v>11</v>
      </c>
      <c r="G15" s="111" t="s">
        <v>305</v>
      </c>
      <c r="H15" s="111" t="s">
        <v>306</v>
      </c>
      <c r="I15" s="103">
        <v>5</v>
      </c>
      <c r="J15" s="118" t="s">
        <v>346</v>
      </c>
    </row>
    <row r="16" spans="1:10" ht="46.8" customHeight="1" x14ac:dyDescent="0.3">
      <c r="A16" s="110"/>
      <c r="B16" s="128"/>
      <c r="C16" s="107" t="s">
        <v>79</v>
      </c>
      <c r="D16" s="102" t="s">
        <v>25</v>
      </c>
      <c r="E16" s="119" t="s">
        <v>26</v>
      </c>
      <c r="F16" s="153" t="s">
        <v>11</v>
      </c>
      <c r="G16" s="111" t="s">
        <v>305</v>
      </c>
      <c r="H16" s="111" t="s">
        <v>306</v>
      </c>
      <c r="I16" s="103">
        <v>2</v>
      </c>
      <c r="J16" s="118" t="s">
        <v>347</v>
      </c>
    </row>
    <row r="17" spans="1:10" ht="55.2" customHeight="1" x14ac:dyDescent="0.3">
      <c r="A17" s="110"/>
      <c r="B17" s="128"/>
      <c r="C17" s="108" t="s">
        <v>79</v>
      </c>
      <c r="D17" s="102" t="s">
        <v>39</v>
      </c>
      <c r="E17" s="120" t="s">
        <v>40</v>
      </c>
      <c r="F17" s="153" t="s">
        <v>11</v>
      </c>
      <c r="G17" s="111" t="s">
        <v>305</v>
      </c>
      <c r="H17" s="111" t="s">
        <v>306</v>
      </c>
      <c r="I17" s="103">
        <v>4</v>
      </c>
      <c r="J17" s="118" t="s">
        <v>348</v>
      </c>
    </row>
    <row r="18" spans="1:10" ht="60.6" customHeight="1" x14ac:dyDescent="0.3">
      <c r="A18" s="112" t="s">
        <v>256</v>
      </c>
      <c r="B18" s="129" t="s">
        <v>307</v>
      </c>
      <c r="C18" s="104" t="s">
        <v>78</v>
      </c>
      <c r="D18" s="102" t="s">
        <v>68</v>
      </c>
      <c r="E18" s="99" t="s">
        <v>236</v>
      </c>
      <c r="F18" s="153" t="s">
        <v>11</v>
      </c>
      <c r="G18" s="92" t="s">
        <v>266</v>
      </c>
      <c r="H18" s="92" t="s">
        <v>308</v>
      </c>
      <c r="I18" s="103">
        <v>5</v>
      </c>
      <c r="J18" s="118" t="s">
        <v>349</v>
      </c>
    </row>
    <row r="19" spans="1:10" ht="57" customHeight="1" x14ac:dyDescent="0.3">
      <c r="A19" s="112"/>
      <c r="B19" s="130"/>
      <c r="C19" s="101" t="s">
        <v>78</v>
      </c>
      <c r="D19" s="102" t="s">
        <v>70</v>
      </c>
      <c r="E19" s="100" t="s">
        <v>237</v>
      </c>
      <c r="F19" s="153" t="s">
        <v>11</v>
      </c>
      <c r="G19" s="92" t="s">
        <v>266</v>
      </c>
      <c r="H19" s="92" t="s">
        <v>308</v>
      </c>
      <c r="I19" s="103">
        <v>4</v>
      </c>
      <c r="J19" s="118" t="s">
        <v>350</v>
      </c>
    </row>
    <row r="20" spans="1:10" ht="51" customHeight="1" x14ac:dyDescent="0.3">
      <c r="A20" s="112"/>
      <c r="B20" s="130"/>
      <c r="C20" s="107" t="s">
        <v>79</v>
      </c>
      <c r="D20" s="102" t="s">
        <v>28</v>
      </c>
      <c r="E20" s="119" t="s">
        <v>29</v>
      </c>
      <c r="F20" s="153" t="s">
        <v>11</v>
      </c>
      <c r="G20" s="92" t="s">
        <v>266</v>
      </c>
      <c r="H20" s="92" t="s">
        <v>308</v>
      </c>
      <c r="I20" s="103">
        <v>7</v>
      </c>
      <c r="J20" s="118" t="s">
        <v>351</v>
      </c>
    </row>
    <row r="21" spans="1:10" ht="55.8" customHeight="1" x14ac:dyDescent="0.3">
      <c r="A21" s="112"/>
      <c r="B21" s="130"/>
      <c r="C21" s="108" t="s">
        <v>79</v>
      </c>
      <c r="D21" s="102" t="s">
        <v>32</v>
      </c>
      <c r="E21" s="120" t="s">
        <v>33</v>
      </c>
      <c r="F21" s="153" t="s">
        <v>11</v>
      </c>
      <c r="G21" s="92" t="s">
        <v>266</v>
      </c>
      <c r="H21" s="92" t="s">
        <v>308</v>
      </c>
      <c r="I21" s="103">
        <v>5</v>
      </c>
      <c r="J21" s="118" t="s">
        <v>352</v>
      </c>
    </row>
    <row r="22" spans="1:10" ht="69" customHeight="1" x14ac:dyDescent="0.3">
      <c r="A22" s="113" t="s">
        <v>257</v>
      </c>
      <c r="B22" s="131" t="s">
        <v>309</v>
      </c>
      <c r="C22" s="104" t="s">
        <v>78</v>
      </c>
      <c r="D22" s="102" t="s">
        <v>71</v>
      </c>
      <c r="E22" s="99" t="s">
        <v>238</v>
      </c>
      <c r="F22" s="153" t="s">
        <v>11</v>
      </c>
      <c r="G22" s="93" t="s">
        <v>267</v>
      </c>
      <c r="H22" s="93" t="s">
        <v>310</v>
      </c>
      <c r="I22" s="103">
        <v>4</v>
      </c>
      <c r="J22" s="118" t="s">
        <v>353</v>
      </c>
    </row>
    <row r="23" spans="1:10" ht="57" customHeight="1" x14ac:dyDescent="0.3">
      <c r="A23" s="113"/>
      <c r="B23" s="132"/>
      <c r="C23" s="101" t="s">
        <v>78</v>
      </c>
      <c r="D23" s="102" t="s">
        <v>73</v>
      </c>
      <c r="E23" s="100" t="s">
        <v>239</v>
      </c>
      <c r="F23" s="153" t="s">
        <v>11</v>
      </c>
      <c r="G23" s="93" t="s">
        <v>267</v>
      </c>
      <c r="H23" s="93" t="s">
        <v>310</v>
      </c>
      <c r="I23" s="103">
        <v>5</v>
      </c>
      <c r="J23" s="118" t="s">
        <v>354</v>
      </c>
    </row>
    <row r="24" spans="1:10" ht="60.6" customHeight="1" x14ac:dyDescent="0.3">
      <c r="A24" s="113"/>
      <c r="B24" s="132"/>
      <c r="C24" s="107" t="s">
        <v>79</v>
      </c>
      <c r="D24" s="102" t="s">
        <v>42</v>
      </c>
      <c r="E24" s="119" t="s">
        <v>43</v>
      </c>
      <c r="F24" s="154" t="s">
        <v>38</v>
      </c>
      <c r="G24" s="93" t="s">
        <v>267</v>
      </c>
      <c r="H24" s="93" t="s">
        <v>310</v>
      </c>
      <c r="I24" s="103">
        <v>5</v>
      </c>
      <c r="J24" s="118" t="s">
        <v>355</v>
      </c>
    </row>
    <row r="25" spans="1:10" ht="61.8" customHeight="1" x14ac:dyDescent="0.3">
      <c r="A25" s="113"/>
      <c r="B25" s="132"/>
      <c r="C25" s="108" t="s">
        <v>79</v>
      </c>
      <c r="D25" s="102" t="s">
        <v>44</v>
      </c>
      <c r="E25" s="120" t="s">
        <v>333</v>
      </c>
      <c r="F25" s="154" t="s">
        <v>38</v>
      </c>
      <c r="G25" s="93" t="s">
        <v>267</v>
      </c>
      <c r="H25" s="93" t="s">
        <v>310</v>
      </c>
      <c r="I25" s="103">
        <v>3</v>
      </c>
      <c r="J25" s="118" t="s">
        <v>356</v>
      </c>
    </row>
    <row r="26" spans="1:10" ht="60" customHeight="1" x14ac:dyDescent="0.3">
      <c r="A26" s="114" t="s">
        <v>258</v>
      </c>
      <c r="B26" s="133" t="s">
        <v>311</v>
      </c>
      <c r="C26" s="104" t="s">
        <v>78</v>
      </c>
      <c r="D26" s="102" t="s">
        <v>240</v>
      </c>
      <c r="E26" s="99" t="s">
        <v>241</v>
      </c>
      <c r="F26" s="153" t="s">
        <v>11</v>
      </c>
      <c r="G26" s="94" t="s">
        <v>268</v>
      </c>
      <c r="H26" s="94" t="s">
        <v>312</v>
      </c>
      <c r="I26" s="103">
        <v>6</v>
      </c>
      <c r="J26" s="118" t="s">
        <v>357</v>
      </c>
    </row>
    <row r="27" spans="1:10" ht="51" customHeight="1" x14ac:dyDescent="0.3">
      <c r="A27" s="114"/>
      <c r="B27" s="134"/>
      <c r="C27" s="101" t="s">
        <v>78</v>
      </c>
      <c r="D27" s="102" t="s">
        <v>242</v>
      </c>
      <c r="E27" s="100" t="s">
        <v>243</v>
      </c>
      <c r="F27" s="153" t="s">
        <v>11</v>
      </c>
      <c r="G27" s="94" t="s">
        <v>268</v>
      </c>
      <c r="H27" s="94" t="s">
        <v>312</v>
      </c>
      <c r="I27" s="103">
        <v>4</v>
      </c>
      <c r="J27" s="118" t="s">
        <v>358</v>
      </c>
    </row>
    <row r="28" spans="1:10" ht="53.4" customHeight="1" x14ac:dyDescent="0.3">
      <c r="A28" s="114"/>
      <c r="B28" s="134"/>
      <c r="C28" s="107" t="s">
        <v>79</v>
      </c>
      <c r="D28" s="102" t="s">
        <v>46</v>
      </c>
      <c r="E28" s="119" t="s">
        <v>47</v>
      </c>
      <c r="F28" s="154" t="s">
        <v>38</v>
      </c>
      <c r="G28" s="94" t="s">
        <v>268</v>
      </c>
      <c r="H28" s="94" t="s">
        <v>312</v>
      </c>
      <c r="I28" s="103">
        <v>4</v>
      </c>
      <c r="J28" s="118" t="s">
        <v>359</v>
      </c>
    </row>
    <row r="29" spans="1:10" ht="60.6" customHeight="1" x14ac:dyDescent="0.3">
      <c r="A29" s="115" t="s">
        <v>259</v>
      </c>
      <c r="B29" s="135" t="s">
        <v>313</v>
      </c>
      <c r="C29" s="101" t="s">
        <v>78</v>
      </c>
      <c r="D29" s="102" t="s">
        <v>244</v>
      </c>
      <c r="E29" s="100" t="s">
        <v>245</v>
      </c>
      <c r="F29" s="153" t="s">
        <v>11</v>
      </c>
      <c r="G29" s="90" t="s">
        <v>269</v>
      </c>
      <c r="H29" s="90" t="s">
        <v>314</v>
      </c>
      <c r="I29" s="103">
        <v>5</v>
      </c>
      <c r="J29" s="118" t="s">
        <v>360</v>
      </c>
    </row>
    <row r="30" spans="1:10" ht="72.599999999999994" customHeight="1" x14ac:dyDescent="0.3">
      <c r="A30" s="115"/>
      <c r="B30" s="136"/>
      <c r="C30" s="104" t="s">
        <v>78</v>
      </c>
      <c r="D30" s="102" t="s">
        <v>246</v>
      </c>
      <c r="E30" s="99" t="s">
        <v>247</v>
      </c>
      <c r="F30" s="154" t="s">
        <v>38</v>
      </c>
      <c r="G30" s="90" t="s">
        <v>269</v>
      </c>
      <c r="H30" s="90" t="s">
        <v>314</v>
      </c>
      <c r="I30" s="103">
        <v>3</v>
      </c>
      <c r="J30" s="118" t="s">
        <v>361</v>
      </c>
    </row>
    <row r="31" spans="1:10" ht="16.8" x14ac:dyDescent="0.3">
      <c r="A31" s="116" t="s">
        <v>315</v>
      </c>
      <c r="B31" s="116"/>
      <c r="C31" s="116"/>
      <c r="D31" s="116"/>
      <c r="E31" s="116"/>
      <c r="F31" s="116"/>
      <c r="G31" s="116"/>
      <c r="H31" s="116"/>
      <c r="I31" s="117">
        <f>SUM(I3:I30)</f>
        <v>130</v>
      </c>
      <c r="J31" s="156"/>
    </row>
    <row r="34" spans="1:10" x14ac:dyDescent="0.3">
      <c r="A34" s="116" t="s">
        <v>316</v>
      </c>
      <c r="B34" s="116"/>
      <c r="C34" s="116"/>
      <c r="D34" s="116"/>
      <c r="E34" s="116"/>
      <c r="F34" s="116"/>
      <c r="G34" s="116"/>
      <c r="H34" s="116"/>
      <c r="I34" s="116"/>
      <c r="J34" s="116"/>
    </row>
    <row r="35" spans="1:10" x14ac:dyDescent="0.3">
      <c r="A35" s="141" t="s">
        <v>6</v>
      </c>
      <c r="B35" s="141" t="s">
        <v>260</v>
      </c>
      <c r="C35" s="141" t="s">
        <v>287</v>
      </c>
      <c r="D35" s="141" t="s">
        <v>317</v>
      </c>
      <c r="E35" s="141" t="s">
        <v>318</v>
      </c>
      <c r="F35" s="141"/>
      <c r="G35" s="141"/>
      <c r="H35" s="141"/>
      <c r="I35" s="141"/>
      <c r="J35" s="141"/>
    </row>
    <row r="36" spans="1:10" x14ac:dyDescent="0.3">
      <c r="A36" s="77" t="s">
        <v>55</v>
      </c>
      <c r="B36" s="86" t="s">
        <v>105</v>
      </c>
      <c r="C36" s="86" t="s">
        <v>290</v>
      </c>
      <c r="D36" s="77" t="s">
        <v>319</v>
      </c>
      <c r="E36" s="142" t="s">
        <v>289</v>
      </c>
      <c r="F36" s="142"/>
      <c r="G36" s="142"/>
      <c r="H36" s="142"/>
      <c r="I36" s="142"/>
      <c r="J36" s="142"/>
    </row>
    <row r="37" spans="1:10" x14ac:dyDescent="0.3">
      <c r="A37" s="78" t="s">
        <v>255</v>
      </c>
      <c r="B37" s="87" t="s">
        <v>261</v>
      </c>
      <c r="C37" s="87" t="s">
        <v>292</v>
      </c>
      <c r="D37" s="78" t="s">
        <v>320</v>
      </c>
      <c r="E37" s="143" t="s">
        <v>291</v>
      </c>
      <c r="F37" s="143"/>
      <c r="G37" s="143"/>
      <c r="H37" s="143"/>
      <c r="I37" s="143"/>
      <c r="J37" s="143"/>
    </row>
    <row r="38" spans="1:10" x14ac:dyDescent="0.3">
      <c r="A38" s="79" t="s">
        <v>58</v>
      </c>
      <c r="B38" s="88" t="s">
        <v>262</v>
      </c>
      <c r="C38" s="88" t="s">
        <v>294</v>
      </c>
      <c r="D38" s="79" t="s">
        <v>321</v>
      </c>
      <c r="E38" s="144" t="s">
        <v>293</v>
      </c>
      <c r="F38" s="144"/>
      <c r="G38" s="144"/>
      <c r="H38" s="144"/>
      <c r="I38" s="144"/>
      <c r="J38" s="144"/>
    </row>
    <row r="39" spans="1:10" x14ac:dyDescent="0.3">
      <c r="A39" s="80" t="s">
        <v>63</v>
      </c>
      <c r="B39" s="89" t="s">
        <v>263</v>
      </c>
      <c r="C39" s="89" t="s">
        <v>296</v>
      </c>
      <c r="D39" s="80" t="s">
        <v>322</v>
      </c>
      <c r="E39" s="145" t="s">
        <v>295</v>
      </c>
      <c r="F39" s="145"/>
      <c r="G39" s="145"/>
      <c r="H39" s="145"/>
      <c r="I39" s="145"/>
      <c r="J39" s="145"/>
    </row>
    <row r="40" spans="1:10" x14ac:dyDescent="0.3">
      <c r="A40" s="81" t="s">
        <v>12</v>
      </c>
      <c r="B40" s="90" t="s">
        <v>264</v>
      </c>
      <c r="C40" s="90" t="s">
        <v>298</v>
      </c>
      <c r="D40" s="81" t="s">
        <v>323</v>
      </c>
      <c r="E40" s="146" t="s">
        <v>297</v>
      </c>
      <c r="F40" s="146"/>
      <c r="G40" s="146"/>
      <c r="H40" s="146"/>
      <c r="I40" s="146"/>
      <c r="J40" s="146"/>
    </row>
    <row r="41" spans="1:10" x14ac:dyDescent="0.3">
      <c r="A41" s="82" t="s">
        <v>31</v>
      </c>
      <c r="B41" s="91" t="s">
        <v>265</v>
      </c>
      <c r="C41" s="91" t="s">
        <v>300</v>
      </c>
      <c r="D41" s="82" t="s">
        <v>324</v>
      </c>
      <c r="E41" s="147" t="s">
        <v>299</v>
      </c>
      <c r="F41" s="147"/>
      <c r="G41" s="147"/>
      <c r="H41" s="147"/>
      <c r="I41" s="147"/>
      <c r="J41" s="147"/>
    </row>
    <row r="42" spans="1:10" x14ac:dyDescent="0.3">
      <c r="A42" s="78" t="s">
        <v>48</v>
      </c>
      <c r="B42" s="87" t="s">
        <v>302</v>
      </c>
      <c r="C42" s="87" t="s">
        <v>303</v>
      </c>
      <c r="D42" s="78" t="s">
        <v>325</v>
      </c>
      <c r="E42" s="143" t="s">
        <v>301</v>
      </c>
      <c r="F42" s="143"/>
      <c r="G42" s="143"/>
      <c r="H42" s="143"/>
      <c r="I42" s="143"/>
      <c r="J42" s="143"/>
    </row>
    <row r="43" spans="1:10" x14ac:dyDescent="0.3">
      <c r="A43" s="148" t="s">
        <v>72</v>
      </c>
      <c r="B43" s="111" t="s">
        <v>305</v>
      </c>
      <c r="C43" s="111" t="s">
        <v>306</v>
      </c>
      <c r="D43" s="148" t="s">
        <v>326</v>
      </c>
      <c r="E43" s="149" t="s">
        <v>304</v>
      </c>
      <c r="F43" s="149"/>
      <c r="G43" s="149"/>
      <c r="H43" s="149"/>
      <c r="I43" s="149"/>
      <c r="J43" s="149"/>
    </row>
    <row r="44" spans="1:10" x14ac:dyDescent="0.3">
      <c r="A44" s="83" t="s">
        <v>256</v>
      </c>
      <c r="B44" s="92" t="s">
        <v>266</v>
      </c>
      <c r="C44" s="92" t="s">
        <v>308</v>
      </c>
      <c r="D44" s="83" t="s">
        <v>327</v>
      </c>
      <c r="E44" s="150" t="s">
        <v>307</v>
      </c>
      <c r="F44" s="150"/>
      <c r="G44" s="150"/>
      <c r="H44" s="150"/>
      <c r="I44" s="150"/>
      <c r="J44" s="150"/>
    </row>
    <row r="45" spans="1:10" ht="24" x14ac:dyDescent="0.3">
      <c r="A45" s="84" t="s">
        <v>257</v>
      </c>
      <c r="B45" s="93" t="s">
        <v>267</v>
      </c>
      <c r="C45" s="93" t="s">
        <v>310</v>
      </c>
      <c r="D45" s="84" t="s">
        <v>328</v>
      </c>
      <c r="E45" s="151" t="s">
        <v>309</v>
      </c>
      <c r="F45" s="151"/>
      <c r="G45" s="151"/>
      <c r="H45" s="151"/>
      <c r="I45" s="151"/>
      <c r="J45" s="151"/>
    </row>
    <row r="46" spans="1:10" ht="24" x14ac:dyDescent="0.3">
      <c r="A46" s="85" t="s">
        <v>258</v>
      </c>
      <c r="B46" s="94" t="s">
        <v>268</v>
      </c>
      <c r="C46" s="94" t="s">
        <v>312</v>
      </c>
      <c r="D46" s="85" t="s">
        <v>329</v>
      </c>
      <c r="E46" s="152" t="s">
        <v>311</v>
      </c>
      <c r="F46" s="152"/>
      <c r="G46" s="152"/>
      <c r="H46" s="152"/>
      <c r="I46" s="152"/>
      <c r="J46" s="152"/>
    </row>
    <row r="47" spans="1:10" ht="24" x14ac:dyDescent="0.3">
      <c r="A47" s="81" t="s">
        <v>259</v>
      </c>
      <c r="B47" s="90" t="s">
        <v>269</v>
      </c>
      <c r="C47" s="90" t="s">
        <v>314</v>
      </c>
      <c r="D47" s="81" t="s">
        <v>330</v>
      </c>
      <c r="E47" s="146" t="s">
        <v>313</v>
      </c>
      <c r="F47" s="146"/>
      <c r="G47" s="146"/>
      <c r="H47" s="146"/>
      <c r="I47" s="146"/>
      <c r="J47" s="146"/>
    </row>
  </sheetData>
  <mergeCells count="31">
    <mergeCell ref="E45:J45"/>
    <mergeCell ref="E46:J46"/>
    <mergeCell ref="E47:J47"/>
    <mergeCell ref="E40:J40"/>
    <mergeCell ref="E41:J41"/>
    <mergeCell ref="E42:J42"/>
    <mergeCell ref="E43:J43"/>
    <mergeCell ref="E44:J44"/>
    <mergeCell ref="A34:J34"/>
    <mergeCell ref="E36:J36"/>
    <mergeCell ref="E37:J37"/>
    <mergeCell ref="E38:J38"/>
    <mergeCell ref="E39:J39"/>
    <mergeCell ref="A29:A30"/>
    <mergeCell ref="B29:B30"/>
    <mergeCell ref="A31:H31"/>
    <mergeCell ref="A1:J1"/>
    <mergeCell ref="A5:A6"/>
    <mergeCell ref="B5:B6"/>
    <mergeCell ref="A9:A11"/>
    <mergeCell ref="B9:B11"/>
    <mergeCell ref="A12:A14"/>
    <mergeCell ref="B12:B14"/>
    <mergeCell ref="A15:A17"/>
    <mergeCell ref="B15:B17"/>
    <mergeCell ref="A18:A21"/>
    <mergeCell ref="B18:B21"/>
    <mergeCell ref="A22:A25"/>
    <mergeCell ref="B22:B25"/>
    <mergeCell ref="A26:A28"/>
    <mergeCell ref="B26:B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Introducción</vt:lpstr>
      <vt:lpstr>Historias de Usuario</vt:lpstr>
      <vt:lpstr>Historias Técnicas</vt:lpstr>
      <vt:lpstr>Product Backlog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RUMI ADRIAN GREFA RIVADENEYRA</dc:creator>
  <cp:lastModifiedBy>RUMI ADRIAN GREFA RIVADENEYRA</cp:lastModifiedBy>
  <dcterms:created xsi:type="dcterms:W3CDTF">2026-04-07T01:09:47Z</dcterms:created>
  <dcterms:modified xsi:type="dcterms:W3CDTF">2026-04-08T15:24:23Z</dcterms:modified>
</cp:coreProperties>
</file>