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97177B81-CAD1-47EB-A5C5-0CA7DDCE997A}" xr6:coauthVersionLast="47" xr6:coauthVersionMax="47" xr10:uidLastSave="{00000000-0000-0000-0000-000000000000}"/>
  <bookViews>
    <workbookView xWindow="-108" yWindow="-108" windowWidth="23256" windowHeight="12456" activeTab="3" xr2:uid="{59FC8592-1491-4403-848F-76B2B904A2E7}"/>
  </bookViews>
  <sheets>
    <sheet name="Introducción" sheetId="4" r:id="rId1"/>
    <sheet name="Historias de Usuario" sheetId="1" r:id="rId2"/>
    <sheet name="Historias Técnicas" sheetId="2" r:id="rId3"/>
    <sheet name="Product Backlog" sheetId="3" r:id="rId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3" l="1"/>
  <c r="F14" i="2"/>
  <c r="F16" i="1"/>
</calcChain>
</file>

<file path=xl/sharedStrings.xml><?xml version="1.0" encoding="utf-8"?>
<sst xmlns="http://schemas.openxmlformats.org/spreadsheetml/2006/main" count="508" uniqueCount="262">
  <si>
    <t>FIE Explorer 3D — Historias de Usuario</t>
  </si>
  <si>
    <t>ID</t>
  </si>
  <si>
    <t>Historia de Usuario</t>
  </si>
  <si>
    <t>Criterios de Aceptación</t>
  </si>
  <si>
    <t>Requisito Asociado</t>
  </si>
  <si>
    <t>Prioridad</t>
  </si>
  <si>
    <t>Duración (días)</t>
  </si>
  <si>
    <t>Sprint</t>
  </si>
  <si>
    <t>HU-01</t>
  </si>
  <si>
    <t>Como usuario (estudiante/aspirante/visitante) quiero explorar el modelo 3D exterior de todos los edificios de la FIE para orientarme en el campus desde el navegador web.</t>
  </si>
  <si>
    <t>• El modelo GLB exterior carga en ≤10 s con ≥10 Mbps.
• Se aplican 3 niveles LOD según distancia de cámara.
• El usuario puede rotar, hacer zoom y paneo sin restricciones.</t>
  </si>
  <si>
    <t>RF-01</t>
  </si>
  <si>
    <t>Alta</t>
  </si>
  <si>
    <t>Sprint 4</t>
  </si>
  <si>
    <t>HU-02</t>
  </si>
  <si>
    <t>Como usuario quiero explorar el modelo 3D interior del edificio principal de la FIE para conocer la distribución de laboratorios y servicios internamente.</t>
  </si>
  <si>
    <t>• Transición animada desde vista exterior en ≤3 s.
• Se renderizan pasillos, laboratorios, secretaría y decanato.
• El usuario puede volver a la vista exterior con 'Vista Exterior'.</t>
  </si>
  <si>
    <t>RF-02</t>
  </si>
  <si>
    <t>HU-03</t>
  </si>
  <si>
    <t>Como usuario quiero navegar libremente en el visor 3D usando controles de ratón, teclado y gestos táctiles para recorrer el entorno de forma intuitiva.</t>
  </si>
  <si>
    <t>• Arrastrar rota la cámara; rueda hace zoom; clic derecho paneo.
• Gestos táctiles (pinch/drag) funcionan en móviles.
• OrbitControls con damping suave activado.</t>
  </si>
  <si>
    <t>RF-03</t>
  </si>
  <si>
    <t>HU-04</t>
  </si>
  <si>
    <t>Como usuario quiero hacer clic en hotspots interactivos del modelo 3D para consultar información detallada de laboratorios, servicios y espacios académicos.</t>
  </si>
  <si>
    <t>• Los hotspots se muestran como íconos flotantes animados.
• Al hacer clic, el panel muestra: nombre, descripción, tipo, equipamiento, horario e imagen.
• El panel se cierra con botón X o clic fuera.</t>
  </si>
  <si>
    <t>RF-04</t>
  </si>
  <si>
    <t>HU-05</t>
  </si>
  <si>
    <t>Como usuario quiero consultar un mini-mapa 2D sincronizado con el visor 3D para saber mi posición y orientación dentro del campus o edificio.</t>
  </si>
  <si>
    <t>• El mini-mapa se actualiza en tiempo real con cada movimiento de cámara.
• Al hacer clic en el mapa, la cámara navega a ese punto.
• Expandible/colapsable; se adapta a pantallas pequeñas.</t>
  </si>
  <si>
    <t>RF-05</t>
  </si>
  <si>
    <t>HU-06</t>
  </si>
  <si>
    <t>Como usuario quiero pulsar un botón 'Cámara Inicial' para regresar rápidamente a la vista predeterminada del visor 3D cuando me desorienta.</t>
  </si>
  <si>
    <t>• Animación TWEEN de ~1.2 s ease-in-out.
• El botón se desactiva durante la animación.
• El mini-mapa refleja la posición inicial al finalizar.</t>
  </si>
  <si>
    <t>RF-06</t>
  </si>
  <si>
    <t>HU-07</t>
  </si>
  <si>
    <t>Como administrador quiero gestionar (crear, editar, desactivar, eliminar) los hotspots informativos desde un panel web sin intervención del equipo de desarrollo.</t>
  </si>
  <si>
    <t>• CRUD completo de hotspots con formulario de validación inline.
• Los cambios se reflejan en el visor público sin recargar la página.
• Se registra cada acción en el log de auditoría.</t>
  </si>
  <si>
    <t>RF-07</t>
  </si>
  <si>
    <t>Sprint 5</t>
  </si>
  <si>
    <t>HU-08</t>
  </si>
  <si>
    <t>Como administrador quiero iniciar sesión con mis credenciales institucionales ESPOCH de forma segura mediante JWT para acceder al panel de administración.</t>
  </si>
  <si>
    <t>• Login con email + contraseña (bcrypt factor ≥12).
• Bloqueo tras 5 intentos fallidos en 15 min por 30 min.
• Token JWT en cookie HttpOnly con expiración de 8 horas.</t>
  </si>
  <si>
    <t>RF-08</t>
  </si>
  <si>
    <t>HU-09</t>
  </si>
  <si>
    <t>Como usuario quiero ver una barra de progreso de carga y mensajes de error amigables para saber el estado de carga de los modelos 3D.</t>
  </si>
  <si>
    <t>• Barra de progreso con porcentaje visible durante la descarga del modelo.
• Si carga supera 30 s, ofrece modo de baja resolución.
• Hasta 2 recargas automáticas ante error; luego mensaje amigable.</t>
  </si>
  <si>
    <t>RF-11</t>
  </si>
  <si>
    <t>Media</t>
  </si>
  <si>
    <t>HU-10</t>
  </si>
  <si>
    <t>Como usuario de dispositivo móvil quiero que la interfaz sea responsive y los controles táctiles funcionen correctamente para explorar el visor 3D desde mi teléfono.</t>
  </si>
  <si>
    <t>• Diseño Mobile-First desde 320 px hasta 4K.
• Gestos táctiles activados automáticamente en touch devices.
• Panel admin accesible y usable en móviles.</t>
  </si>
  <si>
    <t>RF-12</t>
  </si>
  <si>
    <t>HU-11</t>
  </si>
  <si>
    <t>Como administrador quiero cargar nuevos archivos de modelo 3D en formato GLB al sistema para actualizar o añadir edificios al visor sin intervención del desarrollador.</t>
  </si>
  <si>
    <t>• Formulario de carga con validación: solo .glb/.gltf, máx 50 MB.
• Barra de progreso de subida con % visible.
• El modelo queda disponible en el visor tras publicar.</t>
  </si>
  <si>
    <t>HU-12</t>
  </si>
  <si>
    <t>Como administrador quiero visualizar los logs de auditoría del panel (accesos, cambios en hotspots, errores) para monitorear la actividad del sistema.</t>
  </si>
  <si>
    <t>• Tabla paginada con timestamp, usuario, IP y acción.
• Filtros por fecha y tipo de acción.
• Exportación a CSV de los logs filtrados.</t>
  </si>
  <si>
    <t>HU-13</t>
  </si>
  <si>
    <t>Como usuario con necesidades de accesibilidad quiero que la aplicación cumpla estándares básicos WCAG 2.1 AA para poder utilizarla con teclado y lectores de pantalla.</t>
  </si>
  <si>
    <t>• Controles del visor 3D navegables por teclado (Tab + Enter).
• Contraste de colores ≥ 4.5:1 para texto informativo.
• Etiquetas ARIA en botones y paneles interactivos.</t>
  </si>
  <si>
    <t>Sprint 6</t>
  </si>
  <si>
    <t>TOTAL HISTORIAS DE USUARIO</t>
  </si>
  <si>
    <t>FIE Explorer 3D — Historias Técnicas</t>
  </si>
  <si>
    <t>Historia Técnica</t>
  </si>
  <si>
    <t>Descripción / Criterios Técnicos</t>
  </si>
  <si>
    <t>HT-01</t>
  </si>
  <si>
    <t>Configurar el entorno de desarrollo del proyecto con Docker, repositorio Git/GitHub, CI/CD básico y estructura de carpetas para frontend y backend.</t>
  </si>
  <si>
    <t>• Repositorio GitHub con ramas main/dev/staging.
• docker-compose.yml con servicios: frontend, backend, PostgreSQL.
• Variables de entorno en .env; package.json con versiones congeladas.</t>
  </si>
  <si>
    <t>RNF-03, RNF-06</t>
  </si>
  <si>
    <t>Sprint 0</t>
  </si>
  <si>
    <t>HT-02</t>
  </si>
  <si>
    <t>Diseñar la arquitectura general del sistema (cliente-servidor) y el esquema de la base de datos espacial PostgreSQL/PostGIS incluyendo tablas de hotspots, usuarios y logs.</t>
  </si>
  <si>
    <t>• Diagrama de arquitectura con componentes React, Node.js, PostgreSQL/PostGIS.
• Esquema SQL con tablas: hotspots, users, audit_logs, models.
• Extensión PostGIS habilitada; coordenadas 3D en formato GeoJSON.</t>
  </si>
  <si>
    <t>RNF-05</t>
  </si>
  <si>
    <t>Sprint 2</t>
  </si>
  <si>
    <t>HT-03</t>
  </si>
  <si>
    <t>Implementar la detección de compatibilidad WebGL al inicio de la aplicación para mostrar mensajes informativos en navegadores no compatibles.</t>
  </si>
  <si>
    <t>• Función detectWebGL() ejecutada antes de cargar Three.js.
• Pantalla de error con lista de navegadores compatibles y enlaces de descarga.
• No bloquea el resto de la página en caso de falla.</t>
  </si>
  <si>
    <t>RF-09</t>
  </si>
  <si>
    <t>HT-04</t>
  </si>
  <si>
    <t>Implementar el pipeline de optimización LOD de modelos 3D en Blender: retopología, baking de texturas, exportación GLB con compresión Draco y texturas KTX2.</t>
  </si>
  <si>
    <t>• 3 niveles LOD (alta &lt;5 m, media 5-20 m, baja &gt;20 m) para todos los modelos.
• Archivos GLB con Draco; peso individual ≤50 MB.
• Triángulos visibles simultáneos ≤300.000.</t>
  </si>
  <si>
    <t>RF-10, RNF-01</t>
  </si>
  <si>
    <t>Sprint 3</t>
  </si>
  <si>
    <t>HT-05</t>
  </si>
  <si>
    <t>Desarrollar la API REST del backend con Node.js/Express: rutas CRUD para hotspots, autenticación JWT, middleware de seguridad y documentación Swagger.</t>
  </si>
  <si>
    <t>• Endpoints: GET/POST/PUT/DELETE /api/hotspots, POST /api/auth/login.
• Middleware JWT en todas las rutas /admin.
• Tiempo de respuesta API ≤500 ms en el 95% de los casos.</t>
  </si>
  <si>
    <t>RNF-02, RNF-05</t>
  </si>
  <si>
    <t>HT-06</t>
  </si>
  <si>
    <t>Implementar la validación y restricción técnica de archivos multimedia subidos al panel admin (imágenes de hotspots y modelos GLB) con reglas de formato y tamaño.</t>
  </si>
  <si>
    <t>• Imágenes: solo JPG/PNG/WEBP, máx 2 MB, dimensiones máx 2048 px.
• Modelos GLB: máx 50 MB, validación de extensión.
• Mensajes de error descriptivos en tiempo real en el formulario.</t>
  </si>
  <si>
    <t>HT-07</t>
  </si>
  <si>
    <t>Configurar y verificar todas las medidas de seguridad del sistema: HTTPS, cabeceras HTTP de seguridad, protección contra inyección SQL/XSS y desenfoque de rostros en texturas.</t>
  </si>
  <si>
    <t>• HTTPS con TLS 1.2+ en producción (Nginx).
• Cabeceras: CSP, X-Frame-Options, HSTS configuradas.
• Consultas parametrizadas en PostgreSQL; sanitización de entradas en Express.
• Post-procesamiento Gaussian Blur aplicado a texturas exteriores.</t>
  </si>
  <si>
    <t>RNF-02, RO-01</t>
  </si>
  <si>
    <t>HT-08</t>
  </si>
  <si>
    <t>• Captura fotográfica con solapamiento ≥60% frontal y ≥45% lateral.
• Procesamiento SfM/MVS en Meshroom por sectores del edificio.
• Modelos exportados a GLB listos para integración en el visor.</t>
  </si>
  <si>
    <t>RF-01, RF-02</t>
  </si>
  <si>
    <t>HT-09</t>
  </si>
  <si>
    <t>Ejecutar pruebas funcionales, de rendimiento y de compatibilidad de la aplicación: FPS, tiempos de carga, navegadores y dispositivos objetivo.</t>
  </si>
  <si>
    <t>• FPS ≥30 en hardware mínimo (i3 8va gen, GPU WebGL 2.0).
• Carga visor exterior ≤10 s con ≥10 Mbps.
• Compatibilidad verificada: Chrome/Firefox/Edge ≥90, Safari ≥14, Android 10+, iOS 14+.</t>
  </si>
  <si>
    <t>RNF-01, RNF-03, RNF-06</t>
  </si>
  <si>
    <t>HT-10</t>
  </si>
  <si>
    <t>Documentar la API REST con Swagger/OpenAPI y generar la documentación técnica final del sistema para mantenibilidad.</t>
  </si>
  <si>
    <t>• Swagger UI accesible en /api/docs.
• Todos los endpoints documentados con parámetros, respuestas y ejemplos.
• README actualizado con instrucciones de despliegue.</t>
  </si>
  <si>
    <t>Sprint 7</t>
  </si>
  <si>
    <t>HT-11</t>
  </si>
  <si>
    <t>Desplegar la aplicación en el servidor VPS de producción con Docker Compose, Nginx, backups automáticos de PostgreSQL y página de mantenimiento.</t>
  </si>
  <si>
    <t>• docker-compose.yml de producción con frontend, backend, DB y Nginx.
• Backup diario automático de PostgreSQL en 2 ubicaciones en la nube.
• Página de mantenimiento informativa configurada.
• Disponibilidad mínima verificada: ≥95% mensual.</t>
  </si>
  <si>
    <t>RNF-04, RNF-06</t>
  </si>
  <si>
    <t>TOTAL HISTORIAS TÉCNICAS</t>
  </si>
  <si>
    <t>Ejecutar el procesamiento fotogramétrico completo, desde la captura pasando por Meshroom y Blender hasta la generación en formato GLB, de los edificios exteriores y del interior del edificio principal de la FIE.</t>
  </si>
  <si>
    <t>Objetivo del Sprint</t>
  </si>
  <si>
    <t>Tipo</t>
  </si>
  <si>
    <t>Historia / Descripción</t>
  </si>
  <si>
    <t>Preparación: Configurar entorno, repositorio, Docker y herramientas de desarrollo.</t>
  </si>
  <si>
    <t>HT</t>
  </si>
  <si>
    <t>Diseño: Arquitectura del sistema, diseño BD PostGIS, wireframes de UI y mockups del visor.</t>
  </si>
  <si>
    <t>Procesamiento 3D: Captura fotogramétrica, procesamiento Meshroom, optimización Blender y exportación GLB con LOD.</t>
  </si>
  <si>
    <t>Implementación Frontend: Visor 3D exterior/interior, hotspots, mini-mapa, reseteo de cámara, progreso de carga y diseño responsive.</t>
  </si>
  <si>
    <t>HU</t>
  </si>
  <si>
    <t>Implementación Backend: API REST, autenticación JWT, panel admin (CRUD hotspots + carga modelos + logs), seguridad y validaciones.</t>
  </si>
  <si>
    <t>Validación y Pruebas: Pruebas funcionales, de rendimiento, de compatibilidad, evaluación ISO/IEC 25010:2023 y accesibilidad.</t>
  </si>
  <si>
    <t>Cierre: Documentación final, Swagger, despliegue VPS producción, correcciones finales y entrega.</t>
  </si>
  <si>
    <t>TOTAL BACKLOG (HU + HT)</t>
  </si>
  <si>
    <t>FIE Explorer 3D — Product Backlog</t>
  </si>
  <si>
    <t>Proyecto:</t>
  </si>
  <si>
    <t>Versión SRS:</t>
  </si>
  <si>
    <t>Desarrollador:</t>
  </si>
  <si>
    <t>Grefa Rivadeneyra Rumi Adrian — Código 7333</t>
  </si>
  <si>
    <t>Director:</t>
  </si>
  <si>
    <t>García Pumagualle Cristian Alexis</t>
  </si>
  <si>
    <t>E-mail proponente:</t>
  </si>
  <si>
    <t>rumi.grefa@espoch.edu.ec  |  0982568282</t>
  </si>
  <si>
    <t>E-mail director:</t>
  </si>
  <si>
    <t>alexis.garcia@espoch.edu.ec</t>
  </si>
  <si>
    <t>Institución:</t>
  </si>
  <si>
    <t>Escuela Superior Politécnica de Chimborazo (ESPOCH) — Carrera Software</t>
  </si>
  <si>
    <t>Facultad:</t>
  </si>
  <si>
    <t>Informática y Electrónica (FIE)</t>
  </si>
  <si>
    <t>Duración del proyecto:</t>
  </si>
  <si>
    <t>4 meses — Metodología Scrum — 8 Sprints</t>
  </si>
  <si>
    <t>Presupuesto:</t>
  </si>
  <si>
    <t>Estándar SRS:</t>
  </si>
  <si>
    <t>IEEE Std 830-1998</t>
  </si>
  <si>
    <t>Modelo de calidad:</t>
  </si>
  <si>
    <t>ISO/IEC 25010:2023 — Capacidad de Interacción</t>
  </si>
  <si>
    <t>Fecha de preparación:</t>
  </si>
  <si>
    <t>29/03/2026</t>
  </si>
  <si>
    <t>Fecha actualización:</t>
  </si>
  <si>
    <t>07/04/2026</t>
  </si>
  <si>
    <t>#</t>
  </si>
  <si>
    <t>Nombre del Requisito</t>
  </si>
  <si>
    <t>Descripción</t>
  </si>
  <si>
    <t>Casos de Uso Relacionados</t>
  </si>
  <si>
    <t>Duración
(días)</t>
  </si>
  <si>
    <t>Estado en v1.1</t>
  </si>
  <si>
    <t>REQUISITOS FUNCIONALES (RF)</t>
  </si>
  <si>
    <t>Visualización 3D de áreas exteriores de la FIE</t>
  </si>
  <si>
    <t>Funcional</t>
  </si>
  <si>
    <t>El sistema debe cargar y renderizar en el navegador web los modelos fotogramétricos de todos los edificios exteriores de la FIE en formato GLB/GLTF con compresión Draco, usando Three.js/WebGL con iluminación ambiental y hemisférica. Los modelos deben ser visibles desde diferentes ángulos y distancias.</t>
  </si>
  <si>
    <t>Alta / Esencial</t>
  </si>
  <si>
    <t>CU-01</t>
  </si>
  <si>
    <t>Sin cambios</t>
  </si>
  <si>
    <t>Visualización 3D de espacios interiores del edificio principal</t>
  </si>
  <si>
    <t>El sistema debe cargar y renderizar los modelos fotogramétricos interiores del bloque principal de la FIE: pasillos, laboratorios, secretaría, decanato y áreas de servicio. Los modelos se limitan estrictamente al edificio principal y deben estar optimizados con retopología y baking de texturas.</t>
  </si>
  <si>
    <t>CU-02</t>
  </si>
  <si>
    <t>Navegación libre en el visor 3D</t>
  </si>
  <si>
    <t>El sistema debe implementar controles de navegación completos mediante Three.js OrbitControls: (a) Rotación con clic izquierdo+arrastre o deslizamiento táctil; (b) Panning con clic derecho+arrastre o dos dedos; (c) Zoom con rueda del ratón o pinch táctil. Los controles responden en tiempo real con damping suave.</t>
  </si>
  <si>
    <t>CU-04</t>
  </si>
  <si>
    <t>Sistema de hotspots informativos interactivos</t>
  </si>
  <si>
    <t>El sistema debe mostrar marcadores interactivos (hotspots) en puntos estratégicos del modelo 3D mediante coordenadas espaciales en PostGIS. Al activar un hotspot, consulta la API REST y muestra un panel con: nombre, descripción, tipo (laboratorio/servicio/oficina), equipamiento, horario e imágenes. Los hotspots se diferencian visualmente por tipo.</t>
  </si>
  <si>
    <t>CU-03</t>
  </si>
  <si>
    <t>Mini-mapa 2D sincronizado</t>
  </si>
  <si>
    <t>El sistema debe mostrar un mini-mapa 2D en overlay sobre el visor 3D que indique en tiempo real la posición y orientación de la cámara. El mini-mapa debe: actualizarse con cada frame de renderizado, permitir clic para navegar a un punto, expandirse/colapsarse según preferencia, y adaptarse al contexto (plano exterior o planta de edificio para interior).</t>
  </si>
  <si>
    <t>CU-06</t>
  </si>
  <si>
    <t>Reseteo de vista de cámara</t>
  </si>
  <si>
    <t>El sistema debe proveer un botón permanente 'Cámara Inicial' en el visor. Al pulsarlo, la cámara regresa a su posición predeterminada mediante animación TWEEN interpolada (~1.2 s, curva ease-in-out). El botón se desactiva durante la animación para evitar conflictos. El mini-mapa se actualiza al finalizar.</t>
  </si>
  <si>
    <t>CU-05</t>
  </si>
  <si>
    <t>Módulo de gestión de contenidos de hotspots (panel admin)</t>
  </si>
  <si>
    <t>El sistema debe proveer un panel de administración en /admin para: (a) Listar todos los hotspots con estado activo/inactivo; (b) Crear nuevos hotspots con coordenadas 3D (x,y,z) y datos descriptivos; (c) Editar nombre, descripción, tipo, horario, equipamiento; (d) Activar/desactivar hotspots sin eliminarlos; (e) Eliminar hotspots con confirmación. Los cambios se reflejan en el visor sin recargar la página. [NOTA: La validación de archivos se especifica en RF-15]</t>
  </si>
  <si>
    <t>CU-08</t>
  </si>
  <si>
    <t>Autenticación segura del administrador</t>
  </si>
  <si>
    <t>El sistema debe implementar autenticación basada en JWT para el módulo de administración: contraseñas hasheadas con bcrypt (factor ≥12); bloqueo tras 5 intentos fallidos en 15 min por 30 min; expiración de sesión de 8 h; cookies HttpOnly para el token; middleware de verificación en todas las rutas /admin. El formulario de login no debe revelar si el error es de correo o contraseña.</t>
  </si>
  <si>
    <t>CU-07</t>
  </si>
  <si>
    <t>Detección de compatibilidad del navegador (Feature Detection)</t>
  </si>
  <si>
    <t>El sistema debe verificar al inicio la disponibilidad de WebGL mediante Feature Detection. Si WebGL no está disponible, muestra un mensaje descriptivo con requisitos mínimos del sistema (navegador y versión recomendados) y un enlace de descarga del navegador recomendado, sin mostrar una pantalla en blanco.</t>
  </si>
  <si>
    <t>RF-10</t>
  </si>
  <si>
    <t>Optimización LOD (Level of Detail) de modelos 3D</t>
  </si>
  <si>
    <t>El sistema debe implementar técnicas LOD para todos los modelos 3D con al menos 3 niveles de resolución geométrica (alta: &lt;5 m, media: 5-20 m, baja: &gt;20 m de distancia de cámara) mediante THREE.LOD. Los modelos GLB deben aplicar compresión Draco para geometría y texturas KTX2/Basis Universal. El sistema no debe exceder 300.000 triángulos visibles simultáneamente.</t>
  </si>
  <si>
    <t>CU-01, CU-02</t>
  </si>
  <si>
    <t>Indicador de progreso de carga y manejo de errores de red</t>
  </si>
  <si>
    <t>El sistema debe mostrar una barra de progreso con porcentaje de descarga durante la carga inicial de modelos 3D. Si un modelo no carga en 30 s, debe ofrecer un modo de baja resolución. En caso de error, intenta hasta 2 recargas automáticas y notifica al usuario con mensaje amigable si todas fallan. Debe implementar gestión de Disposables en React para prevenir fugas de memoria al cambiar de escena.</t>
  </si>
  <si>
    <t>Media / Deseado</t>
  </si>
  <si>
    <t>Interfaz responsive con diseño Mobile-First</t>
  </si>
  <si>
    <t>La interfaz debe seguir el enfoque Mobile-First, adaptándose a dispositivos desde 320 px hasta monitores 4K. Los controles táctiles del visor 3D (OrbitControls con gestos) deben estar optimizados para pantallas táctiles. El mini-mapa y paneles de hotspots se reposicionan automáticamente en pantallas pequeñas mediante Media Queries CSS. El panel de administración también debe ser accesible desde móviles.</t>
  </si>
  <si>
    <t>CU-12</t>
  </si>
  <si>
    <t>RF-13</t>
  </si>
  <si>
    <t>Módulo de carga y actualización de modelos 3D GLB (panel admin)</t>
  </si>
  <si>
    <t>El sistema debe proveer en el panel de administración un módulo para que el administrador pueda subir nuevos archivos de modelo 3D en formato .glb/.gltf al servidor. Requisitos: (a) Formulario de carga con validación de extensión y tamaño (≤50 MB); (b) Barra de progreso de subida con porcentaje visible; (c) El modelo queda disponible en el visor tras publicar; (d) El sistema almacena la ruta del archivo y los metadatos del modelo en la base de datos.</t>
  </si>
  <si>
    <t>CU-09</t>
  </si>
  <si>
    <t>RF-14</t>
  </si>
  <si>
    <t>Accesibilidad básica WCAG 2.1 AA</t>
  </si>
  <si>
    <t>El sistema debe cumplir requisitos básicos de accesibilidad WCAG 2.1 nivel AA al ser una plataforma de una universidad pública (ESPOCH): (a) Controles del visor 3D navegables por teclado (Tab + Enter); (b) Contraste de colores ≥4.5:1 para texto informativo y etiquetas; (c) Etiquetas ARIA en todos los botones, paneles interactivos y controles del visor; (d) Texto alternativo en imágenes de hotspots.</t>
  </si>
  <si>
    <t>CU-03, CU-04, CU-05, CU-06</t>
  </si>
  <si>
    <t>RF-15</t>
  </si>
  <si>
    <t>Validación y restricción de archivos multimedia</t>
  </si>
  <si>
    <t>El sistema debe aplicar validaciones técnicas explícitas a todos los archivos subidos al panel admin: (a) Imágenes de hotspots: formatos permitidos JPG, PNG, WEBP; dimensiones máximas 2048×2048 px; peso máximo 2 MB; (b) Modelos 3D: solo extensiones .glb/.gltf; peso máximo 50 MB. Los mensajes de error deben ser descriptivos, mostrarse en tiempo real en el formulario y no limpiar los demás campos.</t>
  </si>
  <si>
    <t>CU-08, CU-09</t>
  </si>
  <si>
    <t>RF-16</t>
  </si>
  <si>
    <t>Visualización de logs de auditoría en panel admin</t>
  </si>
  <si>
    <t>El sistema debe proveer en el panel de administración una pantalla de consulta de logs de auditoría que permita al administrador: (a) Ver tabla paginada con columnas: timestamp, usuario, IP, acción y datos modificados; (b) Filtrar por rango de fecha y tipo de acción (login, crear/editar/eliminar hotspot, carga de modelo); (c) Exportar los registros filtrados a CSV.</t>
  </si>
  <si>
    <t>REQUISITOS NO FUNCIONALES (RNF)</t>
  </si>
  <si>
    <t>RNF-01</t>
  </si>
  <si>
    <t>Rendimiento del sistema</t>
  </si>
  <si>
    <t>No Funcional</t>
  </si>
  <si>
    <t>El sistema debe: (a) Cargar y renderizar el visor 3D exterior en &lt;10 s con conexión ≥10 Mbps; (b) Mantener ≥30 FPS en equipos mínimos (Intel Core i3 8va gen, 8 GB RAM, GPU integrada WebGL 2.0); (c) Tiempo de respuesta de la API REST ≤500 ms en el 95% de los casos; (d) Archivos GLB individuales ≤50 MB tras compresión Draco.</t>
  </si>
  <si>
    <t>RNF-02</t>
  </si>
  <si>
    <t>Seguridad del sistema</t>
  </si>
  <si>
    <t>El sistema debe implementar: (a) Autenticación JWT con bcrypt (factor ≥12); (b) Protección contra inyección SQL mediante consultas parametrizadas en PostgreSQL; (c) Validación y sanitización de entradas en backend para prevenir XSS; (d) HTTPS obligatorio en producción (TLS 1.2+); (e) Cabeceras HTTP de seguridad (CSP, X-Frame-Options, HSTS); (f) Desenfoque gaussiano de rostros y placas vehiculares en texturas exteriores; (g) Registro de actividad (logs) con timestamp, IP y usuario en el módulo admin.</t>
  </si>
  <si>
    <t>CU-07, CU-08</t>
  </si>
  <si>
    <t>RNF-03</t>
  </si>
  <si>
    <t>Fiabilidad del sistema</t>
  </si>
  <si>
    <t>El sistema debe: (a) Implementar respaldos diarios automáticos de PostgreSQL en ≥2 ubicaciones en la nube distintas; (b) Gestionar el ciclo de vida de objetos Three.js (Disposables) para prevenir fugas de memoria en sesiones &gt;30 min; (c) Congelar versiones de dependencias Node.js en package.json y realizar auditorías semanales con npm audit; (d) Usar Git/GitHub con ramas separadas para desarrollo, staging y producción.</t>
  </si>
  <si>
    <t>Todos</t>
  </si>
  <si>
    <t>RNF-04</t>
  </si>
  <si>
    <t>Disponibilidad del sistema</t>
  </si>
  <si>
    <t>El sistema debe garantizar disponibilidad mínima del 95% mensual (≤36 h de inactividad/mes). El VPS debe configurarse con Docker para facilitar restauración ante fallos. El sistema debe mostrar una página de mantenimiento informativa durante ventanas programadas de actualización. La aplicación debe ser accesible 24/7 desde cualquier navegador moderno sin instalar software adicional.</t>
  </si>
  <si>
    <t>Mantenibilidad del sistema</t>
  </si>
  <si>
    <t>El sistema debe: (a) Seguir principios de código limpio y arquitectura modular en React (componentes reutilizables) y Node.js (controladores, servicios, repositorios); (b) Documentar la API REST con Swagger/OpenAPI; (c) Mantener cobertura mínima de pruebas unitarias del 60% en módulos críticos del backend (verificada con Jest/Vitest); (d) El módulo de gestión de contenidos debe permitir actualizar hotspots sin intervención del desarrollador; (e) La arquitectura debe permitir añadir nuevos modelos 3D en el futuro sin rediseño.</t>
  </si>
  <si>
    <t>RNF-06</t>
  </si>
  <si>
    <t>Portabilidad y compatibilidad multiplataforma</t>
  </si>
  <si>
    <t>El sistema debe ser compatible y funcional en: (a) Navegadores: Chrome ≥90, Firefox ≥88, Edge ≥90, Safari ≥14 (WebGL 2.0); (b) Sistemas operativos: Windows 10/11, macOS 11+, Ubuntu 20.04+, Android 10+, iOS 14+; (c) Backend ejecutable en contenedores Docker en cualquier entorno Linux; (d) PostgreSQL/PostGIS portable entre versiones 13+; (e) Modelos GLB/GLTF conformes al estándar glTF 2.0 para interoperabilidad futura.</t>
  </si>
  <si>
    <t>OTROS REQUISITOS (RO)</t>
  </si>
  <si>
    <t>RO-01</t>
  </si>
  <si>
    <t>Privacidad y protección de datos (LOPDP)</t>
  </si>
  <si>
    <t>Restricción</t>
  </si>
  <si>
    <t>Los modelos fotogramétricos exteriores que incluyan espacios públicos transitados deben someterse a post-procesamiento para aplicar desenfoque gaussiano (Gaussian Blur) a rostros identificables y placas vehiculares en las texturas, antes de ser publicados. Esta medida garantiza el cumplimiento de la Ley Orgánica de Protección de Datos Personales (LOPDP) del Ecuador.</t>
  </si>
  <si>
    <t>RO-02</t>
  </si>
  <si>
    <t>Licencias y propiedad de software</t>
  </si>
  <si>
    <t>Todo el software utilizado debe contar con licencias compatibles con uso académico sin costo: Meshroom (GPL v3), Blender (GPL v3), React.js (MIT), Three.js (MIT), Node.js (MIT), Express (MIT), PostgreSQL (PostgreSQL License), PostGIS (GPL v2), Docker (Apache 2.0). El código fuente se depositará en el repositorio institucional de la ESPOCH según reglamentos de titulación vigentes.</t>
  </si>
  <si>
    <t>RO-03</t>
  </si>
  <si>
    <t>Permisos institucionales</t>
  </si>
  <si>
    <t>El estudiante investigador debe tramitar y obtener el salvoconducto oficial del Decanato de la FIE para captura fotográfica en todas las áreas de la facultad antes del Sprint 3. Para capturas con dron (UAV) se deben tramitar adicionalmente los permisos ante la DGAC del Ecuador, conforme a la normativa vigente para vuelos UAV en espacios urbanos.</t>
  </si>
  <si>
    <t>LEYENDA DE ESTADOS Y PRIORIDADES</t>
  </si>
  <si>
    <t>Requisito añadido en versión 1.1 para cubrir brechas detectadas en la evaluación</t>
  </si>
  <si>
    <t>Requisito existente que fue actualizado para mayor precisión o atomicidad</t>
  </si>
  <si>
    <t>Requisito original de la versión 1.0 sin modificaciones</t>
  </si>
  <si>
    <t>Requisito indispensable para el funcionamiento del sistema</t>
  </si>
  <si>
    <t>Requisito importante pero no bloqueante; incluido en el alcance</t>
  </si>
  <si>
    <t xml:space="preserve">1.1 </t>
  </si>
  <si>
    <t>USD $ 939,00</t>
  </si>
  <si>
    <t>Separado de RF-07 para mayor atomicidad</t>
  </si>
  <si>
    <t>Visualización de logs requerida por RNF-02</t>
  </si>
  <si>
    <t>Accesibilidad WCAG 2.1 AA</t>
  </si>
  <si>
    <t>RF faltante para CU-09</t>
  </si>
  <si>
    <t>MODIFICADO: Separada validación multimedia de RF-15; añadido estado activo/inactivo explícito</t>
  </si>
  <si>
    <t xml:space="preserve"> NUEVO</t>
  </si>
  <si>
    <t>MODIFICADO</t>
  </si>
  <si>
    <t>Proyecto de Titulación</t>
  </si>
  <si>
    <t>Desarrollo de una aplicación web interactiva para la exploración tridimensional de la Facultad de Informática y Electrónica mediante modelos fotogramétricos.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</si>
</sst>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4"/>
      <color rgb="FFFFFFFF"/>
      <name val="Arial"/>
      <charset val="1"/>
    </font>
    <font>
      <b/>
      <sz val="10"/>
      <color rgb="FFFFFFFF"/>
      <name val="Arial"/>
      <charset val="1"/>
    </font>
    <font>
      <sz val="10"/>
      <color rgb="FF000000"/>
      <name val="Arial"/>
      <charset val="1"/>
    </font>
    <font>
      <sz val="9"/>
      <color rgb="FF000000"/>
      <name val="Arial"/>
      <charset val="1"/>
    </font>
    <font>
      <b/>
      <sz val="11"/>
      <color rgb="FFFFFFFF"/>
      <name val="Arial"/>
      <charset val="1"/>
    </font>
    <font>
      <b/>
      <sz val="10"/>
      <color rgb="FF000000"/>
      <name val="Arial"/>
      <charset val="1"/>
    </font>
    <font>
      <b/>
      <sz val="10"/>
      <color rgb="FF1F3864"/>
      <name val="Arial"/>
      <charset val="1"/>
    </font>
    <font>
      <b/>
      <sz val="10"/>
      <color rgb="FF1E6823"/>
      <name val="Arial"/>
      <charset val="1"/>
    </font>
    <font>
      <b/>
      <sz val="12"/>
      <color rgb="FFFFFFFF"/>
      <name val="Arial"/>
      <charset val="1"/>
    </font>
    <font>
      <b/>
      <sz val="16"/>
      <color rgb="FFFFFFFF"/>
      <name val="Arial"/>
      <charset val="1"/>
    </font>
    <font>
      <b/>
      <sz val="9"/>
      <color rgb="FF1F3864"/>
      <name val="Arial"/>
      <charset val="1"/>
    </font>
    <font>
      <b/>
      <sz val="9"/>
      <color rgb="FF276221"/>
      <name val="Arial"/>
      <charset val="1"/>
    </font>
    <font>
      <b/>
      <sz val="9"/>
      <color rgb="FFFFFFFF"/>
      <name val="Arial"/>
      <charset val="1"/>
    </font>
    <font>
      <sz val="9"/>
      <color rgb="FF2E75B6"/>
      <name val="Arial"/>
      <charset val="1"/>
    </font>
    <font>
      <sz val="9"/>
      <color rgb="FF444444"/>
      <name val="Arial"/>
      <charset val="1"/>
    </font>
    <font>
      <b/>
      <sz val="9"/>
      <color rgb="FF9C6500"/>
      <name val="Arial"/>
      <charset val="1"/>
    </font>
    <font>
      <b/>
      <sz val="9"/>
      <color rgb="FF856404"/>
      <name val="Arial"/>
      <charset val="1"/>
    </font>
    <font>
      <b/>
      <sz val="10"/>
      <color rgb="FF999999"/>
      <name val="Arial"/>
      <charset val="1"/>
    </font>
    <font>
      <b/>
      <sz val="9"/>
      <color rgb="FF444444"/>
      <name val="Arial"/>
      <charset val="1"/>
    </font>
  </fonts>
  <fills count="35">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AEEF3"/>
        <bgColor rgb="FFE2EFDA"/>
      </patternFill>
    </fill>
    <fill>
      <patternFill patternType="solid">
        <fgColor rgb="FFCFE2F3"/>
        <bgColor rgb="FFDAEEF3"/>
      </patternFill>
    </fill>
    <fill>
      <patternFill patternType="solid">
        <fgColor rgb="FFFFFFFF"/>
        <bgColor rgb="FFFFF2CC"/>
      </patternFill>
    </fill>
    <fill>
      <patternFill patternType="solid">
        <fgColor rgb="FFD9D2E9"/>
        <bgColor rgb="FFCFE2F3"/>
      </patternFill>
    </fill>
    <fill>
      <patternFill patternType="solid">
        <fgColor rgb="FFFCE5CD"/>
        <bgColor rgb="FFFFF2CC"/>
      </patternFill>
    </fill>
    <fill>
      <patternFill patternType="solid">
        <fgColor rgb="FFE2EFDA"/>
        <bgColor rgb="FFD9EAD3"/>
      </patternFill>
    </fill>
    <fill>
      <patternFill patternType="solid">
        <fgColor rgb="FFF4CCCC"/>
        <bgColor rgb="FFD9D2E9"/>
      </patternFill>
    </fill>
    <fill>
      <patternFill patternType="solid">
        <fgColor rgb="FFFFF2CC"/>
        <bgColor rgb="FFFCE5CD"/>
      </patternFill>
    </fill>
    <fill>
      <patternFill patternType="solid">
        <fgColor rgb="FFD9EAD3"/>
        <bgColor rgb="FFE2EFDA"/>
      </patternFill>
    </fill>
    <fill>
      <patternFill patternType="solid">
        <fgColor rgb="FFE6E6E6"/>
        <bgColor rgb="FFE2EFDA"/>
      </patternFill>
    </fill>
    <fill>
      <patternFill patternType="solid">
        <fgColor rgb="FFBDD7EE"/>
        <bgColor rgb="FFD9EAF7"/>
      </patternFill>
    </fill>
    <fill>
      <patternFill patternType="solid">
        <fgColor rgb="FFFFFFFF"/>
        <bgColor rgb="FFF9F9F9"/>
      </patternFill>
    </fill>
    <fill>
      <patternFill patternType="solid">
        <fgColor rgb="FF1F5C8B"/>
        <bgColor rgb="FF2E75B6"/>
      </patternFill>
    </fill>
    <fill>
      <patternFill patternType="solid">
        <fgColor rgb="FFDDEEFF"/>
        <bgColor rgb="FFD9EAF7"/>
      </patternFill>
    </fill>
    <fill>
      <patternFill patternType="solid">
        <fgColor rgb="FFDFF0D8"/>
        <bgColor rgb="FFE2EFDA"/>
      </patternFill>
    </fill>
    <fill>
      <patternFill patternType="solid">
        <fgColor rgb="FFFF4D4D"/>
        <bgColor rgb="FFFF8080"/>
      </patternFill>
    </fill>
    <fill>
      <patternFill patternType="solid">
        <fgColor rgb="FFEEF6FF"/>
        <bgColor rgb="FFF2F2F2"/>
      </patternFill>
    </fill>
    <fill>
      <patternFill patternType="solid">
        <fgColor rgb="FFFFEB9C"/>
        <bgColor rgb="FFFFF2CC"/>
      </patternFill>
    </fill>
    <fill>
      <patternFill patternType="solid">
        <fgColor rgb="FFFFA500"/>
        <bgColor rgb="FFFF8080"/>
      </patternFill>
    </fill>
    <fill>
      <patternFill patternType="solid">
        <fgColor rgb="FFC6EFCE"/>
        <bgColor rgb="FFDFF0D8"/>
      </patternFill>
    </fill>
    <fill>
      <patternFill patternType="solid">
        <fgColor rgb="FF375623"/>
        <bgColor rgb="FF276221"/>
      </patternFill>
    </fill>
    <fill>
      <patternFill patternType="solid">
        <fgColor rgb="FFF0F7EC"/>
        <bgColor rgb="FFF2F2F2"/>
      </patternFill>
    </fill>
    <fill>
      <patternFill patternType="solid">
        <fgColor rgb="FFD9EAF7"/>
        <bgColor rgb="FFDDEEFF"/>
      </patternFill>
    </fill>
    <fill>
      <patternFill patternType="solid">
        <fgColor rgb="FFE2EFDA"/>
        <bgColor rgb="FFDFF0D8"/>
      </patternFill>
    </fill>
    <fill>
      <patternFill patternType="solid">
        <fgColor rgb="FF7F6000"/>
        <bgColor rgb="FF856404"/>
      </patternFill>
    </fill>
    <fill>
      <patternFill patternType="solid">
        <fgColor rgb="FFFFF2CC"/>
        <bgColor rgb="FFFFF3CD"/>
      </patternFill>
    </fill>
    <fill>
      <patternFill patternType="solid">
        <fgColor rgb="FFFFF3CD"/>
        <bgColor rgb="FFFFF2CC"/>
      </patternFill>
    </fill>
    <fill>
      <patternFill patternType="solid">
        <fgColor rgb="FFFFFAE5"/>
        <bgColor rgb="FFF9F9F9"/>
      </patternFill>
    </fill>
    <fill>
      <patternFill patternType="solid">
        <fgColor rgb="FF404040"/>
        <bgColor rgb="FF444444"/>
      </patternFill>
    </fill>
    <fill>
      <patternFill patternType="solid">
        <fgColor rgb="FFF9F9F9"/>
        <bgColor rgb="FFFFFFFF"/>
      </patternFill>
    </fill>
    <fill>
      <patternFill patternType="solid">
        <fgColor rgb="FFF2F2F2"/>
        <bgColor rgb="FFF0F7EC"/>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94">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1" xfId="0" applyFill="1" applyBorder="1"/>
    <xf numFmtId="0" fontId="3"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1" fillId="14"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12" fillId="18" borderId="1" xfId="0" applyFont="1" applyFill="1" applyBorder="1" applyAlignment="1">
      <alignment horizontal="center" vertical="center" wrapText="1"/>
    </xf>
    <xf numFmtId="0" fontId="4" fillId="17" borderId="1" xfId="0" applyFont="1" applyFill="1" applyBorder="1" applyAlignment="1">
      <alignment horizontal="left" vertical="top" wrapText="1"/>
    </xf>
    <xf numFmtId="0" fontId="13" fillId="19"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5" fillId="17" borderId="1" xfId="0" applyFont="1" applyFill="1" applyBorder="1" applyAlignment="1">
      <alignment horizontal="left" vertical="center" wrapText="1"/>
    </xf>
    <xf numFmtId="0" fontId="6" fillId="20" borderId="1" xfId="0" applyFont="1" applyFill="1" applyBorder="1" applyAlignment="1">
      <alignment horizontal="left" vertical="center" wrapText="1"/>
    </xf>
    <xf numFmtId="0" fontId="4" fillId="20" borderId="1" xfId="0" applyFont="1" applyFill="1" applyBorder="1" applyAlignment="1">
      <alignment horizontal="left" vertical="top" wrapText="1"/>
    </xf>
    <xf numFmtId="0" fontId="14" fillId="20" borderId="1" xfId="0" applyFont="1" applyFill="1" applyBorder="1" applyAlignment="1">
      <alignment horizontal="center" vertical="center" wrapText="1"/>
    </xf>
    <xf numFmtId="0" fontId="15" fillId="20" borderId="1" xfId="0" applyFont="1" applyFill="1" applyBorder="1" applyAlignment="1">
      <alignment horizontal="left" vertical="center" wrapText="1"/>
    </xf>
    <xf numFmtId="0" fontId="16" fillId="21" borderId="1" xfId="0" applyFont="1" applyFill="1" applyBorder="1" applyAlignment="1">
      <alignment horizontal="left" vertical="center" wrapText="1"/>
    </xf>
    <xf numFmtId="0" fontId="13" fillId="22" borderId="1" xfId="0" applyFont="1" applyFill="1" applyBorder="1" applyAlignment="1">
      <alignment horizontal="center" vertical="center" wrapText="1"/>
    </xf>
    <xf numFmtId="0" fontId="12" fillId="23" borderId="1" xfId="0" applyFont="1" applyFill="1" applyBorder="1" applyAlignment="1">
      <alignment horizontal="left" vertical="center" wrapText="1"/>
    </xf>
    <xf numFmtId="0" fontId="6" fillId="25" borderId="1" xfId="0" applyFont="1" applyFill="1" applyBorder="1" applyAlignment="1">
      <alignment horizontal="left" vertical="center" wrapText="1"/>
    </xf>
    <xf numFmtId="0" fontId="11" fillId="26" borderId="1" xfId="0" applyFont="1" applyFill="1" applyBorder="1" applyAlignment="1">
      <alignment horizontal="center" vertical="center" wrapText="1"/>
    </xf>
    <xf numFmtId="0" fontId="4" fillId="25" borderId="1" xfId="0" applyFont="1" applyFill="1" applyBorder="1" applyAlignment="1">
      <alignment horizontal="left" vertical="top" wrapText="1"/>
    </xf>
    <xf numFmtId="0" fontId="14" fillId="25" borderId="1" xfId="0" applyFont="1" applyFill="1" applyBorder="1" applyAlignment="1">
      <alignment horizontal="center" vertical="center" wrapText="1"/>
    </xf>
    <xf numFmtId="0" fontId="15" fillId="25" borderId="1" xfId="0" applyFont="1" applyFill="1" applyBorder="1" applyAlignment="1">
      <alignment horizontal="left" vertical="center" wrapText="1"/>
    </xf>
    <xf numFmtId="0" fontId="6" fillId="27" borderId="1" xfId="0" applyFont="1" applyFill="1" applyBorder="1" applyAlignment="1">
      <alignment horizontal="left" vertical="center" wrapText="1"/>
    </xf>
    <xf numFmtId="0" fontId="4" fillId="27" borderId="1" xfId="0" applyFont="1" applyFill="1" applyBorder="1" applyAlignment="1">
      <alignment horizontal="left" vertical="top" wrapText="1"/>
    </xf>
    <xf numFmtId="0" fontId="14" fillId="27" borderId="1" xfId="0" applyFont="1" applyFill="1" applyBorder="1" applyAlignment="1">
      <alignment horizontal="center" vertical="center" wrapText="1"/>
    </xf>
    <xf numFmtId="0" fontId="15" fillId="27" borderId="1" xfId="0" applyFont="1" applyFill="1" applyBorder="1" applyAlignment="1">
      <alignment horizontal="left" vertical="center" wrapText="1"/>
    </xf>
    <xf numFmtId="0" fontId="6" fillId="29" borderId="1" xfId="0" applyFont="1" applyFill="1" applyBorder="1" applyAlignment="1">
      <alignment horizontal="left" vertical="center" wrapText="1"/>
    </xf>
    <xf numFmtId="0" fontId="17" fillId="30" borderId="1" xfId="0" applyFont="1" applyFill="1" applyBorder="1" applyAlignment="1">
      <alignment horizontal="center" vertical="center" wrapText="1"/>
    </xf>
    <xf numFmtId="0" fontId="4" fillId="29" borderId="1" xfId="0" applyFont="1" applyFill="1" applyBorder="1" applyAlignment="1">
      <alignment horizontal="left" vertical="top" wrapText="1"/>
    </xf>
    <xf numFmtId="0" fontId="14" fillId="29" borderId="1" xfId="0" applyFont="1" applyFill="1" applyBorder="1" applyAlignment="1">
      <alignment horizontal="center" vertical="center" wrapText="1"/>
    </xf>
    <xf numFmtId="0" fontId="18" fillId="29" borderId="1" xfId="0" applyFont="1" applyFill="1" applyBorder="1" applyAlignment="1">
      <alignment horizontal="center" vertical="center" wrapText="1"/>
    </xf>
    <xf numFmtId="0" fontId="15" fillId="29" borderId="1" xfId="0" applyFont="1" applyFill="1" applyBorder="1" applyAlignment="1">
      <alignment horizontal="left" vertical="center" wrapText="1"/>
    </xf>
    <xf numFmtId="0" fontId="6" fillId="31" borderId="1" xfId="0" applyFont="1" applyFill="1" applyBorder="1" applyAlignment="1">
      <alignment horizontal="left" vertical="center" wrapText="1"/>
    </xf>
    <xf numFmtId="0" fontId="4" fillId="31" borderId="1" xfId="0" applyFont="1" applyFill="1" applyBorder="1" applyAlignment="1">
      <alignment horizontal="left" vertical="top" wrapText="1"/>
    </xf>
    <xf numFmtId="0" fontId="14" fillId="31" borderId="1" xfId="0" applyFont="1" applyFill="1" applyBorder="1" applyAlignment="1">
      <alignment horizontal="center" vertical="center" wrapText="1"/>
    </xf>
    <xf numFmtId="0" fontId="18" fillId="31" borderId="1" xfId="0" applyFont="1" applyFill="1" applyBorder="1" applyAlignment="1">
      <alignment horizontal="center" vertical="center" wrapText="1"/>
    </xf>
    <xf numFmtId="0" fontId="15" fillId="31" borderId="1" xfId="0" applyFont="1" applyFill="1" applyBorder="1" applyAlignment="1">
      <alignment horizontal="left" vertical="center" wrapText="1"/>
    </xf>
    <xf numFmtId="0" fontId="4" fillId="15" borderId="2" xfId="0" applyFont="1" applyFill="1" applyBorder="1" applyAlignment="1">
      <alignment horizontal="center" vertical="center" wrapText="1"/>
    </xf>
    <xf numFmtId="0" fontId="4" fillId="15" borderId="3" xfId="0" applyFont="1" applyFill="1" applyBorder="1" applyAlignment="1">
      <alignment horizontal="center" vertical="center" wrapText="1"/>
    </xf>
    <xf numFmtId="0" fontId="4" fillId="15" borderId="4" xfId="0" applyFont="1" applyFill="1" applyBorder="1" applyAlignment="1">
      <alignment horizontal="center" vertical="center" wrapText="1"/>
    </xf>
    <xf numFmtId="0" fontId="2" fillId="32" borderId="0" xfId="0" applyFont="1" applyFill="1" applyAlignment="1">
      <alignment horizontal="center" vertical="center" wrapText="1"/>
    </xf>
    <xf numFmtId="0" fontId="12" fillId="23" borderId="2" xfId="0" applyFont="1" applyFill="1" applyBorder="1" applyAlignment="1">
      <alignment horizontal="center" vertical="center" wrapText="1"/>
    </xf>
    <xf numFmtId="0" fontId="4" fillId="33" borderId="2" xfId="0" applyFont="1" applyFill="1" applyBorder="1" applyAlignment="1">
      <alignment horizontal="left" vertical="center" wrapText="1"/>
    </xf>
    <xf numFmtId="0" fontId="16" fillId="21" borderId="2" xfId="0" applyFont="1" applyFill="1" applyBorder="1" applyAlignment="1">
      <alignment horizontal="center" vertical="center" wrapText="1"/>
    </xf>
    <xf numFmtId="0" fontId="19" fillId="34" borderId="2" xfId="0" applyFont="1" applyFill="1" applyBorder="1" applyAlignment="1">
      <alignment horizontal="center" vertical="center" wrapText="1"/>
    </xf>
    <xf numFmtId="0" fontId="13" fillId="19" borderId="2" xfId="0" applyFont="1" applyFill="1" applyBorder="1" applyAlignment="1">
      <alignment horizontal="center" vertical="center" wrapText="1"/>
    </xf>
    <xf numFmtId="0" fontId="13" fillId="22" borderId="2" xfId="0" applyFont="1" applyFill="1" applyBorder="1" applyAlignment="1">
      <alignment horizontal="center" vertical="center" wrapText="1"/>
    </xf>
    <xf numFmtId="0" fontId="10" fillId="2" borderId="0" xfId="0" applyFont="1" applyFill="1" applyAlignment="1">
      <alignment horizontal="center" vertical="center" wrapText="1"/>
    </xf>
    <xf numFmtId="0" fontId="5" fillId="24" borderId="2" xfId="0" applyFont="1" applyFill="1" applyBorder="1" applyAlignment="1">
      <alignment horizontal="center" vertical="center" wrapText="1"/>
    </xf>
    <xf numFmtId="0" fontId="5" fillId="24" borderId="3" xfId="0" applyFont="1" applyFill="1" applyBorder="1" applyAlignment="1">
      <alignment horizontal="center" vertical="center" wrapText="1"/>
    </xf>
    <xf numFmtId="0" fontId="5" fillId="28" borderId="2" xfId="0" applyFont="1" applyFill="1" applyBorder="1" applyAlignment="1">
      <alignment horizontal="center" vertical="center" wrapText="1"/>
    </xf>
    <xf numFmtId="0" fontId="5" fillId="28" borderId="3" xfId="0" applyFont="1" applyFill="1" applyBorder="1" applyAlignment="1">
      <alignment horizontal="center" vertical="center" wrapText="1"/>
    </xf>
    <xf numFmtId="0" fontId="4" fillId="15" borderId="2" xfId="0" applyFont="1" applyFill="1" applyBorder="1" applyAlignment="1">
      <alignment horizontal="left" vertical="center" wrapText="1"/>
    </xf>
    <xf numFmtId="0" fontId="5" fillId="16" borderId="2" xfId="0" applyFont="1" applyFill="1" applyBorder="1" applyAlignment="1">
      <alignment horizontal="center" vertical="center" wrapText="1"/>
    </xf>
    <xf numFmtId="0" fontId="5" fillId="16" borderId="3"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E95B-2E4B-45A4-B04B-952A13017E29}">
  <sheetPr>
    <tabColor theme="8" tint="0.79998168889431442"/>
  </sheetPr>
  <dimension ref="A1:I45"/>
  <sheetViews>
    <sheetView topLeftCell="A9" zoomScale="101" workbookViewId="0">
      <selection activeCell="B5" sqref="B5:E5"/>
    </sheetView>
  </sheetViews>
  <sheetFormatPr baseColWidth="10" defaultRowHeight="14.4" x14ac:dyDescent="0.3"/>
  <cols>
    <col min="1" max="1" width="15.33203125" customWidth="1"/>
    <col min="3" max="3" width="27.33203125" customWidth="1"/>
    <col min="5" max="5" width="66.77734375" customWidth="1"/>
    <col min="6" max="6" width="14.33203125" customWidth="1"/>
    <col min="9" max="9" width="25.21875" customWidth="1"/>
  </cols>
  <sheetData>
    <row r="1" spans="1:9" ht="21" customHeight="1" x14ac:dyDescent="0.3">
      <c r="A1" s="72" t="s">
        <v>260</v>
      </c>
      <c r="B1" s="72"/>
      <c r="C1" s="72"/>
      <c r="D1" s="72"/>
      <c r="E1" s="72"/>
      <c r="F1" s="72"/>
      <c r="G1" s="72"/>
      <c r="H1" s="72"/>
      <c r="I1" s="72"/>
    </row>
    <row r="2" spans="1:9" ht="32.4" customHeight="1" x14ac:dyDescent="0.3">
      <c r="A2" s="26" t="s">
        <v>127</v>
      </c>
      <c r="B2" s="77" t="s">
        <v>261</v>
      </c>
      <c r="C2" s="77"/>
      <c r="D2" s="77"/>
      <c r="E2" s="77"/>
      <c r="F2" s="26" t="s">
        <v>128</v>
      </c>
      <c r="G2" s="62" t="s">
        <v>251</v>
      </c>
      <c r="H2" s="63"/>
      <c r="I2" s="64"/>
    </row>
    <row r="3" spans="1:9" ht="24" customHeight="1" x14ac:dyDescent="0.3">
      <c r="A3" s="26" t="s">
        <v>129</v>
      </c>
      <c r="B3" s="77" t="s">
        <v>130</v>
      </c>
      <c r="C3" s="77"/>
      <c r="D3" s="77"/>
      <c r="E3" s="77"/>
      <c r="F3" s="26" t="s">
        <v>131</v>
      </c>
      <c r="G3" s="62" t="s">
        <v>132</v>
      </c>
      <c r="H3" s="63"/>
      <c r="I3" s="64"/>
    </row>
    <row r="4" spans="1:9" ht="24" x14ac:dyDescent="0.3">
      <c r="A4" s="26" t="s">
        <v>133</v>
      </c>
      <c r="B4" s="77" t="s">
        <v>134</v>
      </c>
      <c r="C4" s="77"/>
      <c r="D4" s="77"/>
      <c r="E4" s="77"/>
      <c r="F4" s="26" t="s">
        <v>135</v>
      </c>
      <c r="G4" s="62" t="s">
        <v>136</v>
      </c>
      <c r="H4" s="63"/>
      <c r="I4" s="64"/>
    </row>
    <row r="5" spans="1:9" ht="30" customHeight="1" x14ac:dyDescent="0.3">
      <c r="A5" s="26" t="s">
        <v>137</v>
      </c>
      <c r="B5" s="77" t="s">
        <v>138</v>
      </c>
      <c r="C5" s="77"/>
      <c r="D5" s="77"/>
      <c r="E5" s="77"/>
      <c r="F5" s="26" t="s">
        <v>139</v>
      </c>
      <c r="G5" s="62" t="s">
        <v>140</v>
      </c>
      <c r="H5" s="63"/>
      <c r="I5" s="64"/>
    </row>
    <row r="6" spans="1:9" ht="24" x14ac:dyDescent="0.3">
      <c r="A6" s="26" t="s">
        <v>141</v>
      </c>
      <c r="B6" s="77" t="s">
        <v>142</v>
      </c>
      <c r="C6" s="77"/>
      <c r="D6" s="77"/>
      <c r="E6" s="77"/>
      <c r="F6" s="26" t="s">
        <v>143</v>
      </c>
      <c r="G6" s="62" t="s">
        <v>252</v>
      </c>
      <c r="H6" s="63"/>
      <c r="I6" s="64"/>
    </row>
    <row r="7" spans="1:9" ht="24" customHeight="1" x14ac:dyDescent="0.3">
      <c r="A7" s="26" t="s">
        <v>144</v>
      </c>
      <c r="B7" s="77" t="s">
        <v>145</v>
      </c>
      <c r="C7" s="77"/>
      <c r="D7" s="77"/>
      <c r="E7" s="77"/>
      <c r="F7" s="26" t="s">
        <v>146</v>
      </c>
      <c r="G7" s="62" t="s">
        <v>147</v>
      </c>
      <c r="H7" s="63"/>
      <c r="I7" s="64"/>
    </row>
    <row r="8" spans="1:9" ht="24" x14ac:dyDescent="0.3">
      <c r="A8" s="26" t="s">
        <v>148</v>
      </c>
      <c r="B8" s="77" t="s">
        <v>149</v>
      </c>
      <c r="C8" s="77"/>
      <c r="D8" s="77"/>
      <c r="E8" s="77"/>
      <c r="F8" s="26" t="s">
        <v>150</v>
      </c>
      <c r="G8" s="62" t="s">
        <v>151</v>
      </c>
      <c r="H8" s="63"/>
      <c r="I8" s="64"/>
    </row>
    <row r="10" spans="1:9" ht="52.8" x14ac:dyDescent="0.3">
      <c r="A10" s="27" t="s">
        <v>152</v>
      </c>
      <c r="B10" s="27" t="s">
        <v>1</v>
      </c>
      <c r="C10" s="27" t="s">
        <v>153</v>
      </c>
      <c r="D10" s="27" t="s">
        <v>114</v>
      </c>
      <c r="E10" s="27" t="s">
        <v>154</v>
      </c>
      <c r="F10" s="27" t="s">
        <v>5</v>
      </c>
      <c r="G10" s="27" t="s">
        <v>155</v>
      </c>
      <c r="H10" s="27" t="s">
        <v>156</v>
      </c>
      <c r="I10" s="27" t="s">
        <v>157</v>
      </c>
    </row>
    <row r="11" spans="1:9" ht="14.4" customHeight="1" x14ac:dyDescent="0.3">
      <c r="A11" s="78" t="s">
        <v>158</v>
      </c>
      <c r="B11" s="79"/>
      <c r="C11" s="79"/>
      <c r="D11" s="79"/>
      <c r="E11" s="79"/>
      <c r="F11" s="79"/>
      <c r="G11" s="79"/>
      <c r="H11" s="79"/>
      <c r="I11" s="80"/>
    </row>
    <row r="12" spans="1:9" ht="45.6" x14ac:dyDescent="0.3">
      <c r="A12" s="28">
        <v>1</v>
      </c>
      <c r="B12" s="28" t="s">
        <v>11</v>
      </c>
      <c r="C12" s="29" t="s">
        <v>159</v>
      </c>
      <c r="D12" s="30" t="s">
        <v>160</v>
      </c>
      <c r="E12" s="31" t="s">
        <v>161</v>
      </c>
      <c r="F12" s="32" t="s">
        <v>162</v>
      </c>
      <c r="G12" s="33" t="s">
        <v>163</v>
      </c>
      <c r="H12" s="28">
        <v>5</v>
      </c>
      <c r="I12" s="34" t="s">
        <v>164</v>
      </c>
    </row>
    <row r="13" spans="1:9" ht="45.6" x14ac:dyDescent="0.3">
      <c r="A13" s="28">
        <v>2</v>
      </c>
      <c r="B13" s="28" t="s">
        <v>17</v>
      </c>
      <c r="C13" s="35" t="s">
        <v>165</v>
      </c>
      <c r="D13" s="30" t="s">
        <v>160</v>
      </c>
      <c r="E13" s="36" t="s">
        <v>166</v>
      </c>
      <c r="F13" s="32" t="s">
        <v>162</v>
      </c>
      <c r="G13" s="37" t="s">
        <v>167</v>
      </c>
      <c r="H13" s="28">
        <v>5</v>
      </c>
      <c r="I13" s="38" t="s">
        <v>164</v>
      </c>
    </row>
    <row r="14" spans="1:9" ht="45.6" x14ac:dyDescent="0.3">
      <c r="A14" s="28">
        <v>3</v>
      </c>
      <c r="B14" s="28" t="s">
        <v>21</v>
      </c>
      <c r="C14" s="29" t="s">
        <v>168</v>
      </c>
      <c r="D14" s="30" t="s">
        <v>160</v>
      </c>
      <c r="E14" s="31" t="s">
        <v>169</v>
      </c>
      <c r="F14" s="32" t="s">
        <v>162</v>
      </c>
      <c r="G14" s="33" t="s">
        <v>170</v>
      </c>
      <c r="H14" s="28">
        <v>3</v>
      </c>
      <c r="I14" s="34" t="s">
        <v>164</v>
      </c>
    </row>
    <row r="15" spans="1:9" ht="57" x14ac:dyDescent="0.3">
      <c r="A15" s="28">
        <v>4</v>
      </c>
      <c r="B15" s="28" t="s">
        <v>25</v>
      </c>
      <c r="C15" s="35" t="s">
        <v>171</v>
      </c>
      <c r="D15" s="30" t="s">
        <v>160</v>
      </c>
      <c r="E15" s="36" t="s">
        <v>172</v>
      </c>
      <c r="F15" s="32" t="s">
        <v>162</v>
      </c>
      <c r="G15" s="37" t="s">
        <v>173</v>
      </c>
      <c r="H15" s="28">
        <v>4</v>
      </c>
      <c r="I15" s="38" t="s">
        <v>164</v>
      </c>
    </row>
    <row r="16" spans="1:9" ht="57" x14ac:dyDescent="0.3">
      <c r="A16" s="28">
        <v>5</v>
      </c>
      <c r="B16" s="28" t="s">
        <v>29</v>
      </c>
      <c r="C16" s="29" t="s">
        <v>174</v>
      </c>
      <c r="D16" s="30" t="s">
        <v>160</v>
      </c>
      <c r="E16" s="31" t="s">
        <v>175</v>
      </c>
      <c r="F16" s="32" t="s">
        <v>162</v>
      </c>
      <c r="G16" s="33" t="s">
        <v>176</v>
      </c>
      <c r="H16" s="28">
        <v>3</v>
      </c>
      <c r="I16" s="34" t="s">
        <v>164</v>
      </c>
    </row>
    <row r="17" spans="1:9" ht="45.6" x14ac:dyDescent="0.3">
      <c r="A17" s="28">
        <v>6</v>
      </c>
      <c r="B17" s="28" t="s">
        <v>33</v>
      </c>
      <c r="C17" s="35" t="s">
        <v>177</v>
      </c>
      <c r="D17" s="30" t="s">
        <v>160</v>
      </c>
      <c r="E17" s="36" t="s">
        <v>178</v>
      </c>
      <c r="F17" s="32" t="s">
        <v>162</v>
      </c>
      <c r="G17" s="37" t="s">
        <v>179</v>
      </c>
      <c r="H17" s="28">
        <v>1</v>
      </c>
      <c r="I17" s="38" t="s">
        <v>164</v>
      </c>
    </row>
    <row r="18" spans="1:9" ht="68.400000000000006" x14ac:dyDescent="0.3">
      <c r="A18" s="28">
        <v>7</v>
      </c>
      <c r="B18" s="28" t="s">
        <v>37</v>
      </c>
      <c r="C18" s="29" t="s">
        <v>180</v>
      </c>
      <c r="D18" s="30" t="s">
        <v>160</v>
      </c>
      <c r="E18" s="31" t="s">
        <v>181</v>
      </c>
      <c r="F18" s="32" t="s">
        <v>162</v>
      </c>
      <c r="G18" s="33" t="s">
        <v>182</v>
      </c>
      <c r="H18" s="28">
        <v>5</v>
      </c>
      <c r="I18" s="39" t="s">
        <v>257</v>
      </c>
    </row>
    <row r="19" spans="1:9" ht="57" x14ac:dyDescent="0.3">
      <c r="A19" s="28">
        <v>8</v>
      </c>
      <c r="B19" s="28" t="s">
        <v>42</v>
      </c>
      <c r="C19" s="35" t="s">
        <v>183</v>
      </c>
      <c r="D19" s="30" t="s">
        <v>160</v>
      </c>
      <c r="E19" s="36" t="s">
        <v>184</v>
      </c>
      <c r="F19" s="32" t="s">
        <v>162</v>
      </c>
      <c r="G19" s="37" t="s">
        <v>185</v>
      </c>
      <c r="H19" s="28">
        <v>3</v>
      </c>
      <c r="I19" s="38" t="s">
        <v>164</v>
      </c>
    </row>
    <row r="20" spans="1:9" ht="45.6" x14ac:dyDescent="0.3">
      <c r="A20" s="28">
        <v>9</v>
      </c>
      <c r="B20" s="28" t="s">
        <v>79</v>
      </c>
      <c r="C20" s="29" t="s">
        <v>186</v>
      </c>
      <c r="D20" s="30" t="s">
        <v>160</v>
      </c>
      <c r="E20" s="31" t="s">
        <v>187</v>
      </c>
      <c r="F20" s="32" t="s">
        <v>162</v>
      </c>
      <c r="G20" s="33" t="s">
        <v>163</v>
      </c>
      <c r="H20" s="28">
        <v>2</v>
      </c>
      <c r="I20" s="34" t="s">
        <v>164</v>
      </c>
    </row>
    <row r="21" spans="1:9" ht="57" x14ac:dyDescent="0.3">
      <c r="A21" s="28">
        <v>10</v>
      </c>
      <c r="B21" s="28" t="s">
        <v>188</v>
      </c>
      <c r="C21" s="35" t="s">
        <v>189</v>
      </c>
      <c r="D21" s="30" t="s">
        <v>160</v>
      </c>
      <c r="E21" s="36" t="s">
        <v>190</v>
      </c>
      <c r="F21" s="32" t="s">
        <v>162</v>
      </c>
      <c r="G21" s="37" t="s">
        <v>191</v>
      </c>
      <c r="H21" s="28">
        <v>5</v>
      </c>
      <c r="I21" s="38" t="s">
        <v>164</v>
      </c>
    </row>
    <row r="22" spans="1:9" ht="57" x14ac:dyDescent="0.3">
      <c r="A22" s="28">
        <v>11</v>
      </c>
      <c r="B22" s="28" t="s">
        <v>46</v>
      </c>
      <c r="C22" s="29" t="s">
        <v>192</v>
      </c>
      <c r="D22" s="30" t="s">
        <v>160</v>
      </c>
      <c r="E22" s="31" t="s">
        <v>193</v>
      </c>
      <c r="F22" s="40" t="s">
        <v>194</v>
      </c>
      <c r="G22" s="33" t="s">
        <v>191</v>
      </c>
      <c r="H22" s="28">
        <v>2</v>
      </c>
      <c r="I22" s="34" t="s">
        <v>164</v>
      </c>
    </row>
    <row r="23" spans="1:9" ht="57" x14ac:dyDescent="0.3">
      <c r="A23" s="28">
        <v>12</v>
      </c>
      <c r="B23" s="28" t="s">
        <v>51</v>
      </c>
      <c r="C23" s="35" t="s">
        <v>195</v>
      </c>
      <c r="D23" s="30" t="s">
        <v>160</v>
      </c>
      <c r="E23" s="36" t="s">
        <v>196</v>
      </c>
      <c r="F23" s="32" t="s">
        <v>162</v>
      </c>
      <c r="G23" s="37" t="s">
        <v>197</v>
      </c>
      <c r="H23" s="28">
        <v>3</v>
      </c>
      <c r="I23" s="38" t="s">
        <v>164</v>
      </c>
    </row>
    <row r="24" spans="1:9" ht="68.400000000000006" x14ac:dyDescent="0.3">
      <c r="A24" s="28">
        <v>13</v>
      </c>
      <c r="B24" s="28" t="s">
        <v>198</v>
      </c>
      <c r="C24" s="29" t="s">
        <v>199</v>
      </c>
      <c r="D24" s="30" t="s">
        <v>160</v>
      </c>
      <c r="E24" s="31" t="s">
        <v>200</v>
      </c>
      <c r="F24" s="40" t="s">
        <v>194</v>
      </c>
      <c r="G24" s="33" t="s">
        <v>201</v>
      </c>
      <c r="H24" s="28">
        <v>4</v>
      </c>
      <c r="I24" s="41" t="s">
        <v>256</v>
      </c>
    </row>
    <row r="25" spans="1:9" ht="57" x14ac:dyDescent="0.3">
      <c r="A25" s="28">
        <v>14</v>
      </c>
      <c r="B25" s="28" t="s">
        <v>202</v>
      </c>
      <c r="C25" s="35" t="s">
        <v>203</v>
      </c>
      <c r="D25" s="30" t="s">
        <v>160</v>
      </c>
      <c r="E25" s="36" t="s">
        <v>204</v>
      </c>
      <c r="F25" s="40" t="s">
        <v>194</v>
      </c>
      <c r="G25" s="37" t="s">
        <v>205</v>
      </c>
      <c r="H25" s="28">
        <v>2</v>
      </c>
      <c r="I25" s="41" t="s">
        <v>255</v>
      </c>
    </row>
    <row r="26" spans="1:9" ht="57" x14ac:dyDescent="0.3">
      <c r="A26" s="28">
        <v>15</v>
      </c>
      <c r="B26" s="28" t="s">
        <v>206</v>
      </c>
      <c r="C26" s="29" t="s">
        <v>207</v>
      </c>
      <c r="D26" s="30" t="s">
        <v>160</v>
      </c>
      <c r="E26" s="31" t="s">
        <v>208</v>
      </c>
      <c r="F26" s="32" t="s">
        <v>162</v>
      </c>
      <c r="G26" s="33" t="s">
        <v>209</v>
      </c>
      <c r="H26" s="28">
        <v>2</v>
      </c>
      <c r="I26" s="41" t="s">
        <v>253</v>
      </c>
    </row>
    <row r="27" spans="1:9" ht="57" x14ac:dyDescent="0.3">
      <c r="A27" s="28">
        <v>16</v>
      </c>
      <c r="B27" s="28" t="s">
        <v>210</v>
      </c>
      <c r="C27" s="35" t="s">
        <v>211</v>
      </c>
      <c r="D27" s="30" t="s">
        <v>160</v>
      </c>
      <c r="E27" s="36" t="s">
        <v>212</v>
      </c>
      <c r="F27" s="40" t="s">
        <v>194</v>
      </c>
      <c r="G27" s="37" t="s">
        <v>182</v>
      </c>
      <c r="H27" s="28">
        <v>2</v>
      </c>
      <c r="I27" s="41" t="s">
        <v>254</v>
      </c>
    </row>
    <row r="28" spans="1:9" ht="14.4" customHeight="1" x14ac:dyDescent="0.3">
      <c r="A28" s="73" t="s">
        <v>213</v>
      </c>
      <c r="B28" s="74"/>
      <c r="C28" s="74"/>
      <c r="D28" s="74"/>
      <c r="E28" s="74"/>
      <c r="F28" s="74"/>
      <c r="G28" s="74"/>
      <c r="H28" s="74"/>
      <c r="I28" s="74"/>
    </row>
    <row r="29" spans="1:9" ht="45.6" x14ac:dyDescent="0.3">
      <c r="A29" s="28">
        <v>17</v>
      </c>
      <c r="B29" s="28" t="s">
        <v>214</v>
      </c>
      <c r="C29" s="42" t="s">
        <v>215</v>
      </c>
      <c r="D29" s="43" t="s">
        <v>216</v>
      </c>
      <c r="E29" s="44" t="s">
        <v>217</v>
      </c>
      <c r="F29" s="32" t="s">
        <v>162</v>
      </c>
      <c r="G29" s="45" t="s">
        <v>191</v>
      </c>
      <c r="H29" s="28">
        <v>5</v>
      </c>
      <c r="I29" s="46" t="s">
        <v>164</v>
      </c>
    </row>
    <row r="30" spans="1:9" ht="79.8" x14ac:dyDescent="0.3">
      <c r="A30" s="28">
        <v>18</v>
      </c>
      <c r="B30" s="28" t="s">
        <v>218</v>
      </c>
      <c r="C30" s="47" t="s">
        <v>219</v>
      </c>
      <c r="D30" s="43" t="s">
        <v>216</v>
      </c>
      <c r="E30" s="48" t="s">
        <v>220</v>
      </c>
      <c r="F30" s="32" t="s">
        <v>162</v>
      </c>
      <c r="G30" s="49" t="s">
        <v>221</v>
      </c>
      <c r="H30" s="28">
        <v>3</v>
      </c>
      <c r="I30" s="50" t="s">
        <v>164</v>
      </c>
    </row>
    <row r="31" spans="1:9" ht="68.400000000000006" x14ac:dyDescent="0.3">
      <c r="A31" s="28">
        <v>19</v>
      </c>
      <c r="B31" s="28" t="s">
        <v>222</v>
      </c>
      <c r="C31" s="42" t="s">
        <v>223</v>
      </c>
      <c r="D31" s="43" t="s">
        <v>216</v>
      </c>
      <c r="E31" s="44" t="s">
        <v>224</v>
      </c>
      <c r="F31" s="32" t="s">
        <v>162</v>
      </c>
      <c r="G31" s="45" t="s">
        <v>225</v>
      </c>
      <c r="H31" s="28">
        <v>3</v>
      </c>
      <c r="I31" s="46" t="s">
        <v>164</v>
      </c>
    </row>
    <row r="32" spans="1:9" ht="57" x14ac:dyDescent="0.3">
      <c r="A32" s="28">
        <v>20</v>
      </c>
      <c r="B32" s="28" t="s">
        <v>226</v>
      </c>
      <c r="C32" s="47" t="s">
        <v>227</v>
      </c>
      <c r="D32" s="43" t="s">
        <v>216</v>
      </c>
      <c r="E32" s="48" t="s">
        <v>228</v>
      </c>
      <c r="F32" s="40" t="s">
        <v>194</v>
      </c>
      <c r="G32" s="49" t="s">
        <v>225</v>
      </c>
      <c r="H32" s="28">
        <v>1</v>
      </c>
      <c r="I32" s="50" t="s">
        <v>164</v>
      </c>
    </row>
    <row r="33" spans="1:9" ht="79.8" x14ac:dyDescent="0.3">
      <c r="A33" s="28">
        <v>21</v>
      </c>
      <c r="B33" s="28" t="s">
        <v>74</v>
      </c>
      <c r="C33" s="42" t="s">
        <v>229</v>
      </c>
      <c r="D33" s="43" t="s">
        <v>216</v>
      </c>
      <c r="E33" s="44" t="s">
        <v>230</v>
      </c>
      <c r="F33" s="40" t="s">
        <v>194</v>
      </c>
      <c r="G33" s="45" t="s">
        <v>209</v>
      </c>
      <c r="H33" s="28">
        <v>2</v>
      </c>
      <c r="I33" s="46" t="s">
        <v>164</v>
      </c>
    </row>
    <row r="34" spans="1:9" ht="68.400000000000006" x14ac:dyDescent="0.3">
      <c r="A34" s="28">
        <v>22</v>
      </c>
      <c r="B34" s="28" t="s">
        <v>231</v>
      </c>
      <c r="C34" s="47" t="s">
        <v>232</v>
      </c>
      <c r="D34" s="43" t="s">
        <v>216</v>
      </c>
      <c r="E34" s="48" t="s">
        <v>233</v>
      </c>
      <c r="F34" s="32" t="s">
        <v>162</v>
      </c>
      <c r="G34" s="49" t="s">
        <v>197</v>
      </c>
      <c r="H34" s="28">
        <v>3</v>
      </c>
      <c r="I34" s="50" t="s">
        <v>164</v>
      </c>
    </row>
    <row r="35" spans="1:9" ht="14.4" customHeight="1" x14ac:dyDescent="0.3">
      <c r="A35" s="75" t="s">
        <v>234</v>
      </c>
      <c r="B35" s="76"/>
      <c r="C35" s="76"/>
      <c r="D35" s="76"/>
      <c r="E35" s="76"/>
      <c r="F35" s="76"/>
      <c r="G35" s="76"/>
      <c r="H35" s="76"/>
      <c r="I35" s="76"/>
    </row>
    <row r="36" spans="1:9" ht="57" x14ac:dyDescent="0.3">
      <c r="A36" s="28">
        <v>23</v>
      </c>
      <c r="B36" s="28" t="s">
        <v>235</v>
      </c>
      <c r="C36" s="51" t="s">
        <v>236</v>
      </c>
      <c r="D36" s="52" t="s">
        <v>237</v>
      </c>
      <c r="E36" s="53" t="s">
        <v>238</v>
      </c>
      <c r="F36" s="32" t="s">
        <v>162</v>
      </c>
      <c r="G36" s="54" t="s">
        <v>163</v>
      </c>
      <c r="H36" s="55">
        <v>0</v>
      </c>
      <c r="I36" s="56" t="s">
        <v>164</v>
      </c>
    </row>
    <row r="37" spans="1:9" ht="57" x14ac:dyDescent="0.3">
      <c r="A37" s="28">
        <v>24</v>
      </c>
      <c r="B37" s="28" t="s">
        <v>239</v>
      </c>
      <c r="C37" s="57" t="s">
        <v>240</v>
      </c>
      <c r="D37" s="52" t="s">
        <v>237</v>
      </c>
      <c r="E37" s="58" t="s">
        <v>241</v>
      </c>
      <c r="F37" s="32" t="s">
        <v>162</v>
      </c>
      <c r="G37" s="59" t="s">
        <v>225</v>
      </c>
      <c r="H37" s="60">
        <v>0</v>
      </c>
      <c r="I37" s="61" t="s">
        <v>164</v>
      </c>
    </row>
    <row r="38" spans="1:9" ht="45.6" x14ac:dyDescent="0.3">
      <c r="A38" s="28">
        <v>25</v>
      </c>
      <c r="B38" s="28" t="s">
        <v>242</v>
      </c>
      <c r="C38" s="51" t="s">
        <v>243</v>
      </c>
      <c r="D38" s="52" t="s">
        <v>237</v>
      </c>
      <c r="E38" s="53" t="s">
        <v>244</v>
      </c>
      <c r="F38" s="32" t="s">
        <v>162</v>
      </c>
      <c r="G38" s="54" t="s">
        <v>191</v>
      </c>
      <c r="H38" s="55">
        <v>0</v>
      </c>
      <c r="I38" s="56" t="s">
        <v>164</v>
      </c>
    </row>
    <row r="40" spans="1:9" x14ac:dyDescent="0.3">
      <c r="A40" s="65" t="s">
        <v>245</v>
      </c>
      <c r="B40" s="65"/>
      <c r="C40" s="65"/>
      <c r="D40" s="65"/>
      <c r="E40" s="65"/>
      <c r="F40" s="65"/>
      <c r="G40" s="65"/>
      <c r="H40" s="65"/>
      <c r="I40" s="65"/>
    </row>
    <row r="41" spans="1:9" x14ac:dyDescent="0.3">
      <c r="A41" s="66" t="s">
        <v>258</v>
      </c>
      <c r="B41" s="66"/>
      <c r="C41" s="67" t="s">
        <v>246</v>
      </c>
      <c r="D41" s="67"/>
      <c r="E41" s="67"/>
      <c r="F41" s="67"/>
      <c r="G41" s="67"/>
      <c r="H41" s="67"/>
      <c r="I41" s="67"/>
    </row>
    <row r="42" spans="1:9" x14ac:dyDescent="0.3">
      <c r="A42" s="68" t="s">
        <v>259</v>
      </c>
      <c r="B42" s="68"/>
      <c r="C42" s="67" t="s">
        <v>247</v>
      </c>
      <c r="D42" s="67"/>
      <c r="E42" s="67"/>
      <c r="F42" s="67"/>
      <c r="G42" s="67"/>
      <c r="H42" s="67"/>
      <c r="I42" s="67"/>
    </row>
    <row r="43" spans="1:9" x14ac:dyDescent="0.3">
      <c r="A43" s="69" t="s">
        <v>164</v>
      </c>
      <c r="B43" s="69"/>
      <c r="C43" s="67" t="s">
        <v>248</v>
      </c>
      <c r="D43" s="67"/>
      <c r="E43" s="67"/>
      <c r="F43" s="67"/>
      <c r="G43" s="67"/>
      <c r="H43" s="67"/>
      <c r="I43" s="67"/>
    </row>
    <row r="44" spans="1:9" x14ac:dyDescent="0.3">
      <c r="A44" s="70" t="s">
        <v>162</v>
      </c>
      <c r="B44" s="70"/>
      <c r="C44" s="67" t="s">
        <v>249</v>
      </c>
      <c r="D44" s="67"/>
      <c r="E44" s="67"/>
      <c r="F44" s="67"/>
      <c r="G44" s="67"/>
      <c r="H44" s="67"/>
      <c r="I44" s="67"/>
    </row>
    <row r="45" spans="1:9" x14ac:dyDescent="0.3">
      <c r="A45" s="71" t="s">
        <v>194</v>
      </c>
      <c r="B45" s="71"/>
      <c r="C45" s="67" t="s">
        <v>250</v>
      </c>
      <c r="D45" s="67"/>
      <c r="E45" s="67"/>
      <c r="F45" s="67"/>
      <c r="G45" s="67"/>
      <c r="H45" s="67"/>
      <c r="I45" s="67"/>
    </row>
  </sheetData>
  <mergeCells count="29">
    <mergeCell ref="A45:B45"/>
    <mergeCell ref="C45:I45"/>
    <mergeCell ref="A1:I1"/>
    <mergeCell ref="A28:I28"/>
    <mergeCell ref="A35:I35"/>
    <mergeCell ref="G8:I8"/>
    <mergeCell ref="G7:I7"/>
    <mergeCell ref="G6:I6"/>
    <mergeCell ref="G5:I5"/>
    <mergeCell ref="B7:E7"/>
    <mergeCell ref="B8:E8"/>
    <mergeCell ref="A11:I11"/>
    <mergeCell ref="B4:E4"/>
    <mergeCell ref="B5:E5"/>
    <mergeCell ref="B6:E6"/>
    <mergeCell ref="G4:I4"/>
    <mergeCell ref="A42:B42"/>
    <mergeCell ref="C42:I42"/>
    <mergeCell ref="A43:B43"/>
    <mergeCell ref="C43:I43"/>
    <mergeCell ref="A44:B44"/>
    <mergeCell ref="C44:I44"/>
    <mergeCell ref="G3:I3"/>
    <mergeCell ref="G2:I2"/>
    <mergeCell ref="A40:I40"/>
    <mergeCell ref="A41:B41"/>
    <mergeCell ref="C41:I41"/>
    <mergeCell ref="B2:E2"/>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4949-F99A-485C-A359-1A7E0BEABCB7}">
  <sheetPr>
    <tabColor theme="4" tint="0.59999389629810485"/>
  </sheetPr>
  <dimension ref="A1:G16"/>
  <sheetViews>
    <sheetView zoomScale="85" zoomScaleNormal="85" workbookViewId="0">
      <selection activeCell="A2" sqref="A2:XFD2"/>
    </sheetView>
  </sheetViews>
  <sheetFormatPr baseColWidth="10" defaultRowHeight="14.4" x14ac:dyDescent="0.3"/>
  <cols>
    <col min="2" max="2" width="56.6640625" customWidth="1"/>
    <col min="3" max="3" width="60.5546875" customWidth="1"/>
  </cols>
  <sheetData>
    <row r="1" spans="1:7" ht="17.399999999999999" x14ac:dyDescent="0.3">
      <c r="A1" s="81" t="s">
        <v>0</v>
      </c>
      <c r="B1" s="81"/>
      <c r="C1" s="81"/>
      <c r="D1" s="81"/>
      <c r="E1" s="81"/>
      <c r="F1" s="81"/>
      <c r="G1" s="81"/>
    </row>
    <row r="2" spans="1:7" ht="26.4" x14ac:dyDescent="0.3">
      <c r="A2" s="1" t="s">
        <v>1</v>
      </c>
      <c r="B2" s="1" t="s">
        <v>2</v>
      </c>
      <c r="C2" s="1" t="s">
        <v>3</v>
      </c>
      <c r="D2" s="1" t="s">
        <v>4</v>
      </c>
      <c r="E2" s="1" t="s">
        <v>5</v>
      </c>
      <c r="F2" s="1" t="s">
        <v>6</v>
      </c>
      <c r="G2" s="1" t="s">
        <v>7</v>
      </c>
    </row>
    <row r="3" spans="1:7" ht="64.8" customHeight="1" x14ac:dyDescent="0.3">
      <c r="A3" s="2" t="s">
        <v>8</v>
      </c>
      <c r="B3" s="3" t="s">
        <v>9</v>
      </c>
      <c r="C3" s="3" t="s">
        <v>10</v>
      </c>
      <c r="D3" s="2" t="s">
        <v>11</v>
      </c>
      <c r="E3" s="2" t="s">
        <v>12</v>
      </c>
      <c r="F3" s="2">
        <v>5</v>
      </c>
      <c r="G3" s="4" t="s">
        <v>13</v>
      </c>
    </row>
    <row r="4" spans="1:7" ht="55.2" customHeight="1" x14ac:dyDescent="0.3">
      <c r="A4" s="5" t="s">
        <v>14</v>
      </c>
      <c r="B4" s="6" t="s">
        <v>15</v>
      </c>
      <c r="C4" s="6" t="s">
        <v>16</v>
      </c>
      <c r="D4" s="5" t="s">
        <v>17</v>
      </c>
      <c r="E4" s="5" t="s">
        <v>12</v>
      </c>
      <c r="F4" s="5">
        <v>5</v>
      </c>
      <c r="G4" s="4" t="s">
        <v>13</v>
      </c>
    </row>
    <row r="5" spans="1:7" ht="54" customHeight="1" x14ac:dyDescent="0.3">
      <c r="A5" s="2" t="s">
        <v>18</v>
      </c>
      <c r="B5" s="3" t="s">
        <v>19</v>
      </c>
      <c r="C5" s="3" t="s">
        <v>20</v>
      </c>
      <c r="D5" s="2" t="s">
        <v>21</v>
      </c>
      <c r="E5" s="2" t="s">
        <v>12</v>
      </c>
      <c r="F5" s="2">
        <v>3</v>
      </c>
      <c r="G5" s="4" t="s">
        <v>13</v>
      </c>
    </row>
    <row r="6" spans="1:7" ht="62.4" customHeight="1" x14ac:dyDescent="0.3">
      <c r="A6" s="5" t="s">
        <v>22</v>
      </c>
      <c r="B6" s="6" t="s">
        <v>23</v>
      </c>
      <c r="C6" s="6" t="s">
        <v>24</v>
      </c>
      <c r="D6" s="5" t="s">
        <v>25</v>
      </c>
      <c r="E6" s="5" t="s">
        <v>12</v>
      </c>
      <c r="F6" s="5">
        <v>4</v>
      </c>
      <c r="G6" s="4" t="s">
        <v>13</v>
      </c>
    </row>
    <row r="7" spans="1:7" ht="61.8" customHeight="1" x14ac:dyDescent="0.3">
      <c r="A7" s="2" t="s">
        <v>26</v>
      </c>
      <c r="B7" s="3" t="s">
        <v>27</v>
      </c>
      <c r="C7" s="3" t="s">
        <v>28</v>
      </c>
      <c r="D7" s="2" t="s">
        <v>29</v>
      </c>
      <c r="E7" s="2" t="s">
        <v>12</v>
      </c>
      <c r="F7" s="2">
        <v>3</v>
      </c>
      <c r="G7" s="4" t="s">
        <v>13</v>
      </c>
    </row>
    <row r="8" spans="1:7" ht="52.8" customHeight="1" x14ac:dyDescent="0.3">
      <c r="A8" s="5" t="s">
        <v>30</v>
      </c>
      <c r="B8" s="6" t="s">
        <v>31</v>
      </c>
      <c r="C8" s="6" t="s">
        <v>32</v>
      </c>
      <c r="D8" s="5" t="s">
        <v>33</v>
      </c>
      <c r="E8" s="5" t="s">
        <v>12</v>
      </c>
      <c r="F8" s="5">
        <v>1</v>
      </c>
      <c r="G8" s="4" t="s">
        <v>13</v>
      </c>
    </row>
    <row r="9" spans="1:7" ht="72" customHeight="1" x14ac:dyDescent="0.3">
      <c r="A9" s="2" t="s">
        <v>34</v>
      </c>
      <c r="B9" s="3" t="s">
        <v>35</v>
      </c>
      <c r="C9" s="3" t="s">
        <v>36</v>
      </c>
      <c r="D9" s="2" t="s">
        <v>37</v>
      </c>
      <c r="E9" s="2" t="s">
        <v>12</v>
      </c>
      <c r="F9" s="2">
        <v>5</v>
      </c>
      <c r="G9" s="7" t="s">
        <v>38</v>
      </c>
    </row>
    <row r="10" spans="1:7" ht="51" customHeight="1" x14ac:dyDescent="0.3">
      <c r="A10" s="5" t="s">
        <v>39</v>
      </c>
      <c r="B10" s="6" t="s">
        <v>40</v>
      </c>
      <c r="C10" s="6" t="s">
        <v>41</v>
      </c>
      <c r="D10" s="5" t="s">
        <v>42</v>
      </c>
      <c r="E10" s="5" t="s">
        <v>12</v>
      </c>
      <c r="F10" s="5">
        <v>3</v>
      </c>
      <c r="G10" s="7" t="s">
        <v>38</v>
      </c>
    </row>
    <row r="11" spans="1:7" ht="75.599999999999994" customHeight="1" x14ac:dyDescent="0.3">
      <c r="A11" s="2" t="s">
        <v>43</v>
      </c>
      <c r="B11" s="3" t="s">
        <v>44</v>
      </c>
      <c r="C11" s="3" t="s">
        <v>45</v>
      </c>
      <c r="D11" s="2" t="s">
        <v>46</v>
      </c>
      <c r="E11" s="2" t="s">
        <v>47</v>
      </c>
      <c r="F11" s="2">
        <v>2</v>
      </c>
      <c r="G11" s="4" t="s">
        <v>13</v>
      </c>
    </row>
    <row r="12" spans="1:7" ht="58.2" customHeight="1" x14ac:dyDescent="0.3">
      <c r="A12" s="5" t="s">
        <v>48</v>
      </c>
      <c r="B12" s="6" t="s">
        <v>49</v>
      </c>
      <c r="C12" s="6" t="s">
        <v>50</v>
      </c>
      <c r="D12" s="5" t="s">
        <v>51</v>
      </c>
      <c r="E12" s="5" t="s">
        <v>12</v>
      </c>
      <c r="F12" s="5">
        <v>3</v>
      </c>
      <c r="G12" s="4" t="s">
        <v>13</v>
      </c>
    </row>
    <row r="13" spans="1:7" ht="52.8" customHeight="1" x14ac:dyDescent="0.3">
      <c r="A13" s="2" t="s">
        <v>52</v>
      </c>
      <c r="B13" s="3" t="s">
        <v>53</v>
      </c>
      <c r="C13" s="3" t="s">
        <v>54</v>
      </c>
      <c r="D13" s="2" t="s">
        <v>198</v>
      </c>
      <c r="E13" s="2" t="s">
        <v>47</v>
      </c>
      <c r="F13" s="2">
        <v>4</v>
      </c>
      <c r="G13" s="7" t="s">
        <v>38</v>
      </c>
    </row>
    <row r="14" spans="1:7" ht="54" customHeight="1" x14ac:dyDescent="0.3">
      <c r="A14" s="5" t="s">
        <v>55</v>
      </c>
      <c r="B14" s="6" t="s">
        <v>56</v>
      </c>
      <c r="C14" s="6" t="s">
        <v>57</v>
      </c>
      <c r="D14" s="5" t="s">
        <v>210</v>
      </c>
      <c r="E14" s="5" t="s">
        <v>47</v>
      </c>
      <c r="F14" s="5">
        <v>2</v>
      </c>
      <c r="G14" s="7" t="s">
        <v>38</v>
      </c>
    </row>
    <row r="15" spans="1:7" ht="63" customHeight="1" x14ac:dyDescent="0.3">
      <c r="A15" s="2" t="s">
        <v>58</v>
      </c>
      <c r="B15" s="3" t="s">
        <v>59</v>
      </c>
      <c r="C15" s="3" t="s">
        <v>60</v>
      </c>
      <c r="D15" s="2" t="s">
        <v>202</v>
      </c>
      <c r="E15" s="2" t="s">
        <v>47</v>
      </c>
      <c r="F15" s="2">
        <v>2</v>
      </c>
      <c r="G15" s="8" t="s">
        <v>61</v>
      </c>
    </row>
    <row r="16" spans="1:7" x14ac:dyDescent="0.3">
      <c r="A16" s="82" t="s">
        <v>62</v>
      </c>
      <c r="B16" s="82"/>
      <c r="C16" s="82"/>
      <c r="D16" s="82"/>
      <c r="E16" s="82"/>
      <c r="F16" s="9">
        <f>SUM(F3:F15)</f>
        <v>42</v>
      </c>
      <c r="G16" s="10"/>
    </row>
  </sheetData>
  <mergeCells count="2">
    <mergeCell ref="A1:G1"/>
    <mergeCell ref="A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5EF5-CAB0-478B-9118-C31BCD04102D}">
  <sheetPr>
    <tabColor theme="6" tint="0.59999389629810485"/>
  </sheetPr>
  <dimension ref="A1:G14"/>
  <sheetViews>
    <sheetView zoomScale="85" zoomScaleNormal="85" workbookViewId="0">
      <selection activeCell="A2" sqref="A2:XFD2"/>
    </sheetView>
  </sheetViews>
  <sheetFormatPr baseColWidth="10" defaultRowHeight="14.4" x14ac:dyDescent="0.3"/>
  <cols>
    <col min="2" max="2" width="56.5546875" customWidth="1"/>
    <col min="3" max="3" width="55.77734375" customWidth="1"/>
  </cols>
  <sheetData>
    <row r="1" spans="1:7" ht="17.399999999999999" x14ac:dyDescent="0.3">
      <c r="A1" s="81" t="s">
        <v>63</v>
      </c>
      <c r="B1" s="81"/>
      <c r="C1" s="81"/>
      <c r="D1" s="81"/>
      <c r="E1" s="81"/>
      <c r="F1" s="81"/>
      <c r="G1" s="81"/>
    </row>
    <row r="2" spans="1:7" ht="26.4" x14ac:dyDescent="0.3">
      <c r="A2" s="1" t="s">
        <v>1</v>
      </c>
      <c r="B2" s="1" t="s">
        <v>64</v>
      </c>
      <c r="C2" s="1" t="s">
        <v>65</v>
      </c>
      <c r="D2" s="1" t="s">
        <v>4</v>
      </c>
      <c r="E2" s="1" t="s">
        <v>5</v>
      </c>
      <c r="F2" s="1" t="s">
        <v>6</v>
      </c>
      <c r="G2" s="1" t="s">
        <v>7</v>
      </c>
    </row>
    <row r="3" spans="1:7" ht="90.6" customHeight="1" x14ac:dyDescent="0.3">
      <c r="A3" s="11" t="s">
        <v>66</v>
      </c>
      <c r="B3" s="12" t="s">
        <v>67</v>
      </c>
      <c r="C3" s="12" t="s">
        <v>68</v>
      </c>
      <c r="D3" s="11" t="s">
        <v>69</v>
      </c>
      <c r="E3" s="11" t="s">
        <v>12</v>
      </c>
      <c r="F3" s="11">
        <v>3</v>
      </c>
      <c r="G3" s="13" t="s">
        <v>70</v>
      </c>
    </row>
    <row r="4" spans="1:7" ht="90" customHeight="1" x14ac:dyDescent="0.3">
      <c r="A4" s="5" t="s">
        <v>71</v>
      </c>
      <c r="B4" s="6" t="s">
        <v>72</v>
      </c>
      <c r="C4" s="6" t="s">
        <v>73</v>
      </c>
      <c r="D4" s="5" t="s">
        <v>74</v>
      </c>
      <c r="E4" s="5" t="s">
        <v>12</v>
      </c>
      <c r="F4" s="5">
        <v>4</v>
      </c>
      <c r="G4" s="14" t="s">
        <v>75</v>
      </c>
    </row>
    <row r="5" spans="1:7" ht="78" customHeight="1" x14ac:dyDescent="0.3">
      <c r="A5" s="11" t="s">
        <v>76</v>
      </c>
      <c r="B5" s="12" t="s">
        <v>77</v>
      </c>
      <c r="C5" s="12" t="s">
        <v>78</v>
      </c>
      <c r="D5" s="11" t="s">
        <v>79</v>
      </c>
      <c r="E5" s="11" t="s">
        <v>12</v>
      </c>
      <c r="F5" s="11">
        <v>2</v>
      </c>
      <c r="G5" s="4" t="s">
        <v>13</v>
      </c>
    </row>
    <row r="6" spans="1:7" ht="67.2" customHeight="1" x14ac:dyDescent="0.3">
      <c r="A6" s="5" t="s">
        <v>80</v>
      </c>
      <c r="B6" s="6" t="s">
        <v>81</v>
      </c>
      <c r="C6" s="6" t="s">
        <v>82</v>
      </c>
      <c r="D6" s="5" t="s">
        <v>83</v>
      </c>
      <c r="E6" s="5" t="s">
        <v>12</v>
      </c>
      <c r="F6" s="5">
        <v>5</v>
      </c>
      <c r="G6" s="15" t="s">
        <v>84</v>
      </c>
    </row>
    <row r="7" spans="1:7" ht="73.8" customHeight="1" x14ac:dyDescent="0.3">
      <c r="A7" s="11" t="s">
        <v>85</v>
      </c>
      <c r="B7" s="12" t="s">
        <v>86</v>
      </c>
      <c r="C7" s="12" t="s">
        <v>87</v>
      </c>
      <c r="D7" s="11" t="s">
        <v>88</v>
      </c>
      <c r="E7" s="11" t="s">
        <v>12</v>
      </c>
      <c r="F7" s="11">
        <v>5</v>
      </c>
      <c r="G7" s="7" t="s">
        <v>38</v>
      </c>
    </row>
    <row r="8" spans="1:7" ht="60" customHeight="1" x14ac:dyDescent="0.3">
      <c r="A8" s="5" t="s">
        <v>89</v>
      </c>
      <c r="B8" s="6" t="s">
        <v>90</v>
      </c>
      <c r="C8" s="6" t="s">
        <v>91</v>
      </c>
      <c r="D8" s="5" t="s">
        <v>206</v>
      </c>
      <c r="E8" s="5" t="s">
        <v>12</v>
      </c>
      <c r="F8" s="5">
        <v>2</v>
      </c>
      <c r="G8" s="7" t="s">
        <v>38</v>
      </c>
    </row>
    <row r="9" spans="1:7" ht="88.8" customHeight="1" x14ac:dyDescent="0.3">
      <c r="A9" s="11" t="s">
        <v>92</v>
      </c>
      <c r="B9" s="12" t="s">
        <v>93</v>
      </c>
      <c r="C9" s="12" t="s">
        <v>94</v>
      </c>
      <c r="D9" s="11" t="s">
        <v>95</v>
      </c>
      <c r="E9" s="11" t="s">
        <v>12</v>
      </c>
      <c r="F9" s="11">
        <v>3</v>
      </c>
      <c r="G9" s="7" t="s">
        <v>38</v>
      </c>
    </row>
    <row r="10" spans="1:7" ht="79.2" customHeight="1" x14ac:dyDescent="0.3">
      <c r="A10" s="5" t="s">
        <v>96</v>
      </c>
      <c r="B10" s="6" t="s">
        <v>112</v>
      </c>
      <c r="C10" s="6" t="s">
        <v>97</v>
      </c>
      <c r="D10" s="5" t="s">
        <v>98</v>
      </c>
      <c r="E10" s="5" t="s">
        <v>12</v>
      </c>
      <c r="F10" s="5">
        <v>10</v>
      </c>
      <c r="G10" s="15" t="s">
        <v>84</v>
      </c>
    </row>
    <row r="11" spans="1:7" ht="66" customHeight="1" x14ac:dyDescent="0.3">
      <c r="A11" s="11" t="s">
        <v>99</v>
      </c>
      <c r="B11" s="12" t="s">
        <v>100</v>
      </c>
      <c r="C11" s="12" t="s">
        <v>101</v>
      </c>
      <c r="D11" s="11" t="s">
        <v>102</v>
      </c>
      <c r="E11" s="11" t="s">
        <v>12</v>
      </c>
      <c r="F11" s="11">
        <v>5</v>
      </c>
      <c r="G11" s="8" t="s">
        <v>61</v>
      </c>
    </row>
    <row r="12" spans="1:7" ht="64.2" customHeight="1" x14ac:dyDescent="0.3">
      <c r="A12" s="5" t="s">
        <v>103</v>
      </c>
      <c r="B12" s="6" t="s">
        <v>104</v>
      </c>
      <c r="C12" s="6" t="s">
        <v>105</v>
      </c>
      <c r="D12" s="5" t="s">
        <v>74</v>
      </c>
      <c r="E12" s="5" t="s">
        <v>47</v>
      </c>
      <c r="F12" s="5">
        <v>2</v>
      </c>
      <c r="G12" s="16" t="s">
        <v>106</v>
      </c>
    </row>
    <row r="13" spans="1:7" ht="83.4" customHeight="1" x14ac:dyDescent="0.3">
      <c r="A13" s="11" t="s">
        <v>107</v>
      </c>
      <c r="B13" s="12" t="s">
        <v>108</v>
      </c>
      <c r="C13" s="12" t="s">
        <v>109</v>
      </c>
      <c r="D13" s="11" t="s">
        <v>110</v>
      </c>
      <c r="E13" s="11" t="s">
        <v>12</v>
      </c>
      <c r="F13" s="11">
        <v>3</v>
      </c>
      <c r="G13" s="16" t="s">
        <v>106</v>
      </c>
    </row>
    <row r="14" spans="1:7" x14ac:dyDescent="0.3">
      <c r="A14" s="82" t="s">
        <v>111</v>
      </c>
      <c r="B14" s="82"/>
      <c r="C14" s="82"/>
      <c r="D14" s="82"/>
      <c r="E14" s="82"/>
      <c r="F14" s="9">
        <f>SUM(F3:F13)</f>
        <v>44</v>
      </c>
      <c r="G14" s="10"/>
    </row>
  </sheetData>
  <mergeCells count="2">
    <mergeCell ref="A1:G1"/>
    <mergeCell ref="A14:E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112A-4544-4EDF-BC89-A1501417A049}">
  <sheetPr>
    <tabColor theme="5" tint="0.39997558519241921"/>
  </sheetPr>
  <dimension ref="A1:G27"/>
  <sheetViews>
    <sheetView tabSelected="1" workbookViewId="0">
      <selection activeCell="A2" sqref="A2:XFD2"/>
    </sheetView>
  </sheetViews>
  <sheetFormatPr baseColWidth="10" defaultRowHeight="14.4" x14ac:dyDescent="0.3"/>
  <cols>
    <col min="2" max="2" width="36.109375" customWidth="1"/>
    <col min="3" max="3" width="10.33203125" customWidth="1"/>
    <col min="4" max="4" width="9.109375" customWidth="1"/>
    <col min="5" max="5" width="40.88671875" customWidth="1"/>
  </cols>
  <sheetData>
    <row r="1" spans="1:7" ht="17.399999999999999" x14ac:dyDescent="0.3">
      <c r="A1" s="81" t="s">
        <v>126</v>
      </c>
      <c r="B1" s="81"/>
      <c r="C1" s="81"/>
      <c r="D1" s="81"/>
      <c r="E1" s="81"/>
      <c r="F1" s="81"/>
      <c r="G1" s="81"/>
    </row>
    <row r="2" spans="1:7" ht="26.4" x14ac:dyDescent="0.3">
      <c r="A2" s="1" t="s">
        <v>7</v>
      </c>
      <c r="B2" s="1" t="s">
        <v>113</v>
      </c>
      <c r="C2" s="1" t="s">
        <v>114</v>
      </c>
      <c r="D2" s="1" t="s">
        <v>1</v>
      </c>
      <c r="E2" s="1" t="s">
        <v>115</v>
      </c>
      <c r="F2" s="1" t="s">
        <v>5</v>
      </c>
      <c r="G2" s="1" t="s">
        <v>6</v>
      </c>
    </row>
    <row r="3" spans="1:7" ht="34.200000000000003" x14ac:dyDescent="0.3">
      <c r="A3" s="17" t="s">
        <v>70</v>
      </c>
      <c r="B3" s="18" t="s">
        <v>116</v>
      </c>
      <c r="C3" s="19" t="s">
        <v>117</v>
      </c>
      <c r="D3" s="20" t="s">
        <v>66</v>
      </c>
      <c r="E3" s="12" t="s">
        <v>67</v>
      </c>
      <c r="F3" s="11" t="s">
        <v>12</v>
      </c>
      <c r="G3" s="20">
        <v>3</v>
      </c>
    </row>
    <row r="4" spans="1:7" ht="45.6" x14ac:dyDescent="0.3">
      <c r="A4" s="21" t="s">
        <v>75</v>
      </c>
      <c r="B4" s="22" t="s">
        <v>118</v>
      </c>
      <c r="C4" s="19" t="s">
        <v>117</v>
      </c>
      <c r="D4" s="20" t="s">
        <v>71</v>
      </c>
      <c r="E4" s="12" t="s">
        <v>72</v>
      </c>
      <c r="F4" s="11" t="s">
        <v>12</v>
      </c>
      <c r="G4" s="20">
        <v>4</v>
      </c>
    </row>
    <row r="5" spans="1:7" ht="45.6" x14ac:dyDescent="0.3">
      <c r="A5" s="90" t="s">
        <v>84</v>
      </c>
      <c r="B5" s="91" t="s">
        <v>119</v>
      </c>
      <c r="C5" s="19" t="s">
        <v>117</v>
      </c>
      <c r="D5" s="20" t="s">
        <v>80</v>
      </c>
      <c r="E5" s="12" t="s">
        <v>81</v>
      </c>
      <c r="F5" s="11" t="s">
        <v>12</v>
      </c>
      <c r="G5" s="20">
        <v>5</v>
      </c>
    </row>
    <row r="6" spans="1:7" ht="45.6" x14ac:dyDescent="0.3">
      <c r="A6" s="90"/>
      <c r="B6" s="90"/>
      <c r="C6" s="19" t="s">
        <v>117</v>
      </c>
      <c r="D6" s="20" t="s">
        <v>96</v>
      </c>
      <c r="E6" s="12" t="s">
        <v>112</v>
      </c>
      <c r="F6" s="11" t="s">
        <v>12</v>
      </c>
      <c r="G6" s="20">
        <v>10</v>
      </c>
    </row>
    <row r="7" spans="1:7" ht="34.200000000000003" x14ac:dyDescent="0.3">
      <c r="A7" s="92" t="s">
        <v>13</v>
      </c>
      <c r="B7" s="93" t="s">
        <v>120</v>
      </c>
      <c r="C7" s="19" t="s">
        <v>117</v>
      </c>
      <c r="D7" s="20" t="s">
        <v>76</v>
      </c>
      <c r="E7" s="12" t="s">
        <v>77</v>
      </c>
      <c r="F7" s="11" t="s">
        <v>12</v>
      </c>
      <c r="G7" s="20">
        <v>2</v>
      </c>
    </row>
    <row r="8" spans="1:7" ht="45.6" x14ac:dyDescent="0.3">
      <c r="A8" s="92"/>
      <c r="B8" s="92"/>
      <c r="C8" s="23" t="s">
        <v>121</v>
      </c>
      <c r="D8" s="24" t="s">
        <v>8</v>
      </c>
      <c r="E8" s="3" t="s">
        <v>9</v>
      </c>
      <c r="F8" s="2" t="s">
        <v>12</v>
      </c>
      <c r="G8" s="24">
        <v>5</v>
      </c>
    </row>
    <row r="9" spans="1:7" ht="34.200000000000003" x14ac:dyDescent="0.3">
      <c r="A9" s="92"/>
      <c r="B9" s="92"/>
      <c r="C9" s="23" t="s">
        <v>121</v>
      </c>
      <c r="D9" s="24" t="s">
        <v>14</v>
      </c>
      <c r="E9" s="3" t="s">
        <v>15</v>
      </c>
      <c r="F9" s="2" t="s">
        <v>12</v>
      </c>
      <c r="G9" s="24">
        <v>5</v>
      </c>
    </row>
    <row r="10" spans="1:7" ht="34.200000000000003" x14ac:dyDescent="0.3">
      <c r="A10" s="92"/>
      <c r="B10" s="92"/>
      <c r="C10" s="23" t="s">
        <v>121</v>
      </c>
      <c r="D10" s="24" t="s">
        <v>18</v>
      </c>
      <c r="E10" s="3" t="s">
        <v>19</v>
      </c>
      <c r="F10" s="2" t="s">
        <v>12</v>
      </c>
      <c r="G10" s="24">
        <v>3</v>
      </c>
    </row>
    <row r="11" spans="1:7" ht="45.6" x14ac:dyDescent="0.3">
      <c r="A11" s="92"/>
      <c r="B11" s="92"/>
      <c r="C11" s="23" t="s">
        <v>121</v>
      </c>
      <c r="D11" s="24" t="s">
        <v>22</v>
      </c>
      <c r="E11" s="3" t="s">
        <v>23</v>
      </c>
      <c r="F11" s="2" t="s">
        <v>12</v>
      </c>
      <c r="G11" s="24">
        <v>4</v>
      </c>
    </row>
    <row r="12" spans="1:7" ht="34.200000000000003" x14ac:dyDescent="0.3">
      <c r="A12" s="92"/>
      <c r="B12" s="92"/>
      <c r="C12" s="23" t="s">
        <v>121</v>
      </c>
      <c r="D12" s="24" t="s">
        <v>26</v>
      </c>
      <c r="E12" s="3" t="s">
        <v>27</v>
      </c>
      <c r="F12" s="2" t="s">
        <v>12</v>
      </c>
      <c r="G12" s="24">
        <v>3</v>
      </c>
    </row>
    <row r="13" spans="1:7" ht="34.200000000000003" x14ac:dyDescent="0.3">
      <c r="A13" s="92"/>
      <c r="B13" s="92"/>
      <c r="C13" s="23" t="s">
        <v>121</v>
      </c>
      <c r="D13" s="24" t="s">
        <v>30</v>
      </c>
      <c r="E13" s="3" t="s">
        <v>31</v>
      </c>
      <c r="F13" s="2" t="s">
        <v>12</v>
      </c>
      <c r="G13" s="24">
        <v>1</v>
      </c>
    </row>
    <row r="14" spans="1:7" ht="34.200000000000003" x14ac:dyDescent="0.3">
      <c r="A14" s="92"/>
      <c r="B14" s="92"/>
      <c r="C14" s="23" t="s">
        <v>121</v>
      </c>
      <c r="D14" s="24" t="s">
        <v>43</v>
      </c>
      <c r="E14" s="3" t="s">
        <v>44</v>
      </c>
      <c r="F14" s="2" t="s">
        <v>47</v>
      </c>
      <c r="G14" s="24">
        <v>2</v>
      </c>
    </row>
    <row r="15" spans="1:7" ht="45.6" x14ac:dyDescent="0.3">
      <c r="A15" s="92"/>
      <c r="B15" s="92"/>
      <c r="C15" s="23" t="s">
        <v>121</v>
      </c>
      <c r="D15" s="24" t="s">
        <v>48</v>
      </c>
      <c r="E15" s="3" t="s">
        <v>49</v>
      </c>
      <c r="F15" s="2" t="s">
        <v>12</v>
      </c>
      <c r="G15" s="24">
        <v>3</v>
      </c>
    </row>
    <row r="16" spans="1:7" ht="45.6" x14ac:dyDescent="0.3">
      <c r="A16" s="84" t="s">
        <v>38</v>
      </c>
      <c r="B16" s="85" t="s">
        <v>122</v>
      </c>
      <c r="C16" s="19" t="s">
        <v>117</v>
      </c>
      <c r="D16" s="20" t="s">
        <v>85</v>
      </c>
      <c r="E16" s="12" t="s">
        <v>86</v>
      </c>
      <c r="F16" s="11" t="s">
        <v>12</v>
      </c>
      <c r="G16" s="20">
        <v>5</v>
      </c>
    </row>
    <row r="17" spans="1:7" ht="45.6" x14ac:dyDescent="0.3">
      <c r="A17" s="84"/>
      <c r="B17" s="84"/>
      <c r="C17" s="19" t="s">
        <v>117</v>
      </c>
      <c r="D17" s="20" t="s">
        <v>89</v>
      </c>
      <c r="E17" s="12" t="s">
        <v>90</v>
      </c>
      <c r="F17" s="11" t="s">
        <v>12</v>
      </c>
      <c r="G17" s="20">
        <v>2</v>
      </c>
    </row>
    <row r="18" spans="1:7" ht="45.6" x14ac:dyDescent="0.3">
      <c r="A18" s="84"/>
      <c r="B18" s="84"/>
      <c r="C18" s="19" t="s">
        <v>117</v>
      </c>
      <c r="D18" s="20" t="s">
        <v>92</v>
      </c>
      <c r="E18" s="12" t="s">
        <v>93</v>
      </c>
      <c r="F18" s="11" t="s">
        <v>12</v>
      </c>
      <c r="G18" s="20">
        <v>3</v>
      </c>
    </row>
    <row r="19" spans="1:7" ht="34.200000000000003" x14ac:dyDescent="0.3">
      <c r="A19" s="84"/>
      <c r="B19" s="84"/>
      <c r="C19" s="23" t="s">
        <v>121</v>
      </c>
      <c r="D19" s="24" t="s">
        <v>34</v>
      </c>
      <c r="E19" s="3" t="s">
        <v>35</v>
      </c>
      <c r="F19" s="2" t="s">
        <v>12</v>
      </c>
      <c r="G19" s="24">
        <v>5</v>
      </c>
    </row>
    <row r="20" spans="1:7" ht="45.6" x14ac:dyDescent="0.3">
      <c r="A20" s="84"/>
      <c r="B20" s="84"/>
      <c r="C20" s="23" t="s">
        <v>121</v>
      </c>
      <c r="D20" s="24" t="s">
        <v>39</v>
      </c>
      <c r="E20" s="3" t="s">
        <v>40</v>
      </c>
      <c r="F20" s="2" t="s">
        <v>12</v>
      </c>
      <c r="G20" s="24">
        <v>3</v>
      </c>
    </row>
    <row r="21" spans="1:7" ht="45.6" x14ac:dyDescent="0.3">
      <c r="A21" s="84"/>
      <c r="B21" s="84"/>
      <c r="C21" s="23" t="s">
        <v>121</v>
      </c>
      <c r="D21" s="24" t="s">
        <v>52</v>
      </c>
      <c r="E21" s="3" t="s">
        <v>53</v>
      </c>
      <c r="F21" s="2" t="s">
        <v>47</v>
      </c>
      <c r="G21" s="24">
        <v>4</v>
      </c>
    </row>
    <row r="22" spans="1:7" ht="34.200000000000003" x14ac:dyDescent="0.3">
      <c r="A22" s="84"/>
      <c r="B22" s="84"/>
      <c r="C22" s="23" t="s">
        <v>121</v>
      </c>
      <c r="D22" s="24" t="s">
        <v>55</v>
      </c>
      <c r="E22" s="3" t="s">
        <v>56</v>
      </c>
      <c r="F22" s="2" t="s">
        <v>47</v>
      </c>
      <c r="G22" s="24">
        <v>2</v>
      </c>
    </row>
    <row r="23" spans="1:7" ht="34.200000000000003" x14ac:dyDescent="0.3">
      <c r="A23" s="86" t="s">
        <v>61</v>
      </c>
      <c r="B23" s="87" t="s">
        <v>123</v>
      </c>
      <c r="C23" s="19" t="s">
        <v>117</v>
      </c>
      <c r="D23" s="20" t="s">
        <v>99</v>
      </c>
      <c r="E23" s="12" t="s">
        <v>100</v>
      </c>
      <c r="F23" s="11" t="s">
        <v>12</v>
      </c>
      <c r="G23" s="20">
        <v>5</v>
      </c>
    </row>
    <row r="24" spans="1:7" ht="45.6" x14ac:dyDescent="0.3">
      <c r="A24" s="86"/>
      <c r="B24" s="86"/>
      <c r="C24" s="23" t="s">
        <v>121</v>
      </c>
      <c r="D24" s="24" t="s">
        <v>58</v>
      </c>
      <c r="E24" s="3" t="s">
        <v>59</v>
      </c>
      <c r="F24" s="2" t="s">
        <v>47</v>
      </c>
      <c r="G24" s="24">
        <v>2</v>
      </c>
    </row>
    <row r="25" spans="1:7" ht="34.200000000000003" x14ac:dyDescent="0.3">
      <c r="A25" s="88" t="s">
        <v>106</v>
      </c>
      <c r="B25" s="89" t="s">
        <v>124</v>
      </c>
      <c r="C25" s="19" t="s">
        <v>117</v>
      </c>
      <c r="D25" s="20" t="s">
        <v>103</v>
      </c>
      <c r="E25" s="12" t="s">
        <v>104</v>
      </c>
      <c r="F25" s="11" t="s">
        <v>47</v>
      </c>
      <c r="G25" s="20">
        <v>2</v>
      </c>
    </row>
    <row r="26" spans="1:7" ht="45.6" x14ac:dyDescent="0.3">
      <c r="A26" s="88"/>
      <c r="B26" s="88"/>
      <c r="C26" s="19" t="s">
        <v>117</v>
      </c>
      <c r="D26" s="20" t="s">
        <v>107</v>
      </c>
      <c r="E26" s="12" t="s">
        <v>108</v>
      </c>
      <c r="F26" s="11" t="s">
        <v>12</v>
      </c>
      <c r="G26" s="20">
        <v>3</v>
      </c>
    </row>
    <row r="27" spans="1:7" ht="15.6" x14ac:dyDescent="0.3">
      <c r="A27" s="83" t="s">
        <v>125</v>
      </c>
      <c r="B27" s="83"/>
      <c r="C27" s="83"/>
      <c r="D27" s="83"/>
      <c r="E27" s="83"/>
      <c r="F27" s="83"/>
      <c r="G27" s="25">
        <f>SUM(G3:G26)</f>
        <v>86</v>
      </c>
    </row>
  </sheetData>
  <mergeCells count="12">
    <mergeCell ref="A1:G1"/>
    <mergeCell ref="A5:A6"/>
    <mergeCell ref="B5:B6"/>
    <mergeCell ref="A7:A15"/>
    <mergeCell ref="B7:B15"/>
    <mergeCell ref="A27:F27"/>
    <mergeCell ref="A16:A22"/>
    <mergeCell ref="B16:B22"/>
    <mergeCell ref="A23:A24"/>
    <mergeCell ref="B23:B24"/>
    <mergeCell ref="A25:A26"/>
    <mergeCell ref="B25:B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Introducción</vt:lpstr>
      <vt:lpstr>Historias de Usuario</vt:lpstr>
      <vt:lpstr>Historias Técnicas</vt:lpstr>
      <vt:lpstr>Product 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RUMI ADRIAN GREFA RIVADENEYRA</dc:creator>
  <cp:lastModifiedBy>RUMI ADRIAN GREFA RIVADENEYRA</cp:lastModifiedBy>
  <dcterms:created xsi:type="dcterms:W3CDTF">2026-04-07T01:09:47Z</dcterms:created>
  <dcterms:modified xsi:type="dcterms:W3CDTF">2026-04-07T14:06:36Z</dcterms:modified>
</cp:coreProperties>
</file>