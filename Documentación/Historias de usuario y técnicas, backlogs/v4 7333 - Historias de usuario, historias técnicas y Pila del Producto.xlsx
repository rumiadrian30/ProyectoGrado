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E789A9D8-93E2-4CCD-AD1A-B3B26CAE6A88}" xr6:coauthVersionLast="47" xr6:coauthVersionMax="47" xr10:uidLastSave="{00000000-0000-0000-0000-000000000000}"/>
  <bookViews>
    <workbookView xWindow="-108" yWindow="-108" windowWidth="23256" windowHeight="12456" firstSheet="1" activeTab="3"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2" i="3" l="1"/>
  <c r="F20" i="2"/>
  <c r="F15" i="1"/>
</calcChain>
</file>

<file path=xl/sharedStrings.xml><?xml version="1.0" encoding="utf-8"?>
<sst xmlns="http://schemas.openxmlformats.org/spreadsheetml/2006/main" count="637" uniqueCount="365">
  <si>
    <t>FIE Explorer 3D — Historias de Usuario</t>
  </si>
  <si>
    <t>ID</t>
  </si>
  <si>
    <t>Historia de Usuario</t>
  </si>
  <si>
    <t>Criterios de Aceptación</t>
  </si>
  <si>
    <t>Requisito Asociado</t>
  </si>
  <si>
    <t>Prioridad</t>
  </si>
  <si>
    <t>Sprint</t>
  </si>
  <si>
    <t>HU-01</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</si>
  <si>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</si>
  <si>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</si>
  <si>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</si>
  <si>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</si>
  <si>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</si>
  <si>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</si>
  <si>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</si>
  <si>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</si>
  <si>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</si>
  <si>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</si>
  <si>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</si>
  <si>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</si>
  <si>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</si>
  <si>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</si>
  <si>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</si>
  <si>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</si>
  <si>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</si>
  <si>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</si>
  <si>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</si>
  <si>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</si>
  <si>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</si>
  <si>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</si>
  <si>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</si>
  <si>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</si>
  <si>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</si>
  <si>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</si>
  <si>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</si>
  <si>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</si>
  <si>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</si>
  <si>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</si>
  <si>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</si>
  <si>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</si>
  <si>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</si>
  <si>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</si>
  <si>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Sprint 6</t>
  </si>
  <si>
    <t>TOTAL HISTORIAS DE USUARIO</t>
  </si>
  <si>
    <t>FIE Explorer 3D — Historias Técnicas</t>
  </si>
  <si>
    <t>Historia Técnica</t>
  </si>
  <si>
    <t>Descripción / Criterios Técnicos</t>
  </si>
  <si>
    <t>HT-01</t>
  </si>
  <si>
    <t>RNF-03, RNF-06</t>
  </si>
  <si>
    <t>HT-02</t>
  </si>
  <si>
    <t>RNF-05</t>
  </si>
  <si>
    <t>Sprint 2</t>
  </si>
  <si>
    <t>HT-03</t>
  </si>
  <si>
    <t>RF-09</t>
  </si>
  <si>
    <t>HT-04</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</si>
  <si>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</si>
  <si>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</si>
  <si>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</si>
  <si>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</si>
  <si>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</si>
  <si>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</si>
  <si>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</si>
  <si>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</si>
  <si>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</si>
  <si>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</si>
  <si>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</si>
  <si>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</si>
  <si>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</si>
  <si>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</si>
  <si>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</si>
  <si>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</si>
  <si>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</si>
  <si>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</si>
  <si>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</si>
  <si>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</si>
  <si>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</si>
  <si>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</si>
  <si>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</si>
  <si>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</si>
  <si>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</si>
  <si>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</si>
  <si>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</si>
  <si>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</si>
  <si>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</si>
  <si>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</si>
  <si>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</si>
  <si>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</si>
  <si>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</si>
  <si>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</si>
  <si>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</si>
  <si>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</si>
  <si>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</si>
  <si>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</si>
  <si>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</si>
  <si>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</si>
  <si>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</si>
  <si>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</si>
  <si>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</si>
  <si>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</si>
  <si>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</si>
  <si>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</si>
  <si>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</si>
  <si>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</si>
  <si>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</si>
  <si>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</si>
  <si>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</si>
  <si>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</si>
  <si>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</si>
  <si>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</si>
  <si>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</si>
  <si>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</si>
  <si>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</si>
  <si>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</si>
  <si>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</si>
  <si>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</si>
  <si>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</si>
  <si>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</si>
  <si>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</si>
  <si>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</si>
  <si>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</si>
  <si>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</si>
  <si>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</si>
  <si>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</si>
  <si>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</si>
  <si>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</si>
  <si>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</si>
  <si>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</si>
  <si>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</si>
  <si>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</si>
  <si>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</si>
  <si>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</si>
  <si>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</si>
  <si>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</si>
  <si>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</si>
  <si>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</si>
  <si>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</si>
  <si>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</si>
  <si>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</si>
  <si>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</si>
  <si>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</si>
  <si>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</si>
  <si>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</si>
  <si>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</si>
  <si>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</si>
  <si>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</si>
  <si>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</si>
  <si>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</si>
  <si>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</si>
  <si>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</si>
  <si>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</si>
  <si>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</si>
  <si>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</si>
  <si>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</si>
  <si>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</si>
  <si>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</si>
  <si>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</si>
  <si>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</si>
  <si>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</si>
  <si>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</si>
  <si>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</si>
  <si>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</si>
  <si>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</si>
  <si>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</si>
  <si>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</si>
  <si>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</si>
  <si>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</si>
  <si>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</si>
  <si>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</si>
  <si>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</si>
  <si>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</si>
  <si>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</si>
  <si>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</si>
  <si>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</si>
  <si>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</si>
  <si>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</si>
  <si>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</si>
  <si>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</si>
  <si>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</si>
  <si>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</si>
  <si>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</si>
  <si>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</si>
  <si>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</si>
  <si>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</si>
  <si>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</si>
  <si>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</si>
  <si>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</si>
  <si>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</si>
  <si>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</si>
  <si>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</si>
  <si>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</si>
  <si>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</si>
  <si>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</si>
  <si>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</si>
  <si>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</si>
  <si>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</si>
  <si>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</si>
  <si>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</si>
  <si>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</si>
  <si>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</si>
  <si>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</si>
  <si>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</si>
  <si>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</si>
  <si>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</si>
  <si>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</si>
  <si>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</si>
  <si>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</si>
  <si>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</si>
  <si>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</si>
  <si>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</si>
  <si>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</si>
  <si>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Diseño Mobile-First desde 320 px hasta 4K.
• Gestos táctiles activados automáticamente en touch devices.
• Panel admin accesible y usable en móviles.
• El mini-mapa se colapsa por defecto en pantallas &lt;5 pulgadas.</t>
  </si>
  <si>
    <t>• Tabla paginada con timestamp, usuario, IP y acción.
• Filtros funcionales por rango de fecha y tipo de acción.
• Exportación a CSV de los registros filtrados.
• Cada acción del admin genera automáticamente un registro.</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</si>
  <si>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</si>
  <si>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</si>
  <si>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</si>
  <si>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</si>
  <si>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</si>
  <si>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</si>
  <si>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</si>
  <si>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autenticación JWT con bcrypt y middleware de protección de rutas admin</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</si>
  <si>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</si>
  <si>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</si>
  <si>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</si>
  <si>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</si>
  <si>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</si>
  <si>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</si>
  <si>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</si>
  <si>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</si>
  <si>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</si>
  <si>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</si>
  <si>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</si>
  <si>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</si>
  <si>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</si>
  <si>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</si>
  <si>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</si>
  <si>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</si>
  <si>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</si>
  <si>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</si>
  <si>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</si>
  <si>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</si>
  <si>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</si>
  <si>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</si>
  <si>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</si>
  <si>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</si>
  <si>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</si>
  <si>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</si>
  <si>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</si>
  <si>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</si>
  <si>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</si>
  <si>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</si>
  <si>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</si>
  <si>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Historia / Descripción breve</t>
  </si>
  <si>
    <t>Fecha Fin</t>
  </si>
  <si>
    <t>Horas</t>
  </si>
  <si>
    <t>13/04/2026</t>
  </si>
  <si>
    <t>20/04/2026</t>
  </si>
  <si>
    <t>27/04/2026</t>
  </si>
  <si>
    <t>04/05/2026</t>
  </si>
  <si>
    <t>11/05/2026</t>
  </si>
  <si>
    <t>18/05/2026</t>
  </si>
  <si>
    <t>25/05/2026</t>
  </si>
  <si>
    <t>22/06/2026</t>
  </si>
  <si>
    <t>Revisión del repositorio GitHub: verificar existencia de las 3 ramas, ejecutar 'docker-compose up' y confirmar que los 3 servicios levantan sin errores. Revisar que el .env.example está documentado y el README tiene instrucciones de instalación.</t>
  </si>
  <si>
    <t>¿Cómo se comprueba?</t>
  </si>
  <si>
    <t>Preparación y Análisis: Configurar entorno Docker/GitHub y levantamiento de información espacial de la FIE.</t>
  </si>
  <si>
    <t>Diseño: Arquitectura del sistema, esquema BD PostGIS, wireframes del visor y mockups del panel admin.</t>
  </si>
  <si>
    <t>Presentar el documento de inventario espacial con al menos 15 hotspots identificados (nombre, tipo, descripción, horario). El inventario debe estar validado por el director.</t>
  </si>
  <si>
    <t>Presentar el diagrama de arquitectura y de secuencia. Ejecutar el script SQL de creación de tablas en PostgreSQL y verificar que PostGIS está habilitado con 'SELECT PostGIS_Version()'.</t>
  </si>
  <si>
    <t>Presentar los wireframes de todas las pantallas principales. Confirmar que los mockups están alineados con la identidad visual ESPOCH (#BC0613). Validar prototipos.</t>
  </si>
  <si>
    <t>Demo en vivo: ingresar credenciales correctas y verificar redirección al dashboard. Intentar 5 veces con contraseña incorrecta y confirmar bloqueo. Inspeccionar con DevTools que el token está en cookie HttpOnly.</t>
  </si>
  <si>
    <t>Como usuario quiero explorar el modelo 3D exterior de todos los edificios de la FIE para orientarme en el campus desde el navegador web.</t>
  </si>
  <si>
    <t>Demo en dispositivo móvil real: navegar visor con gestos táctiles, verificar mini-mapa colapsado y expandible, confirmar panel admin usable con el dedo.</t>
  </si>
  <si>
    <t>Backend – Fundación: API REST completa con Swagger/OpenAPI y autenticación JWT segura con bcrypt.</t>
  </si>
  <si>
    <t>LEYENDA · JUSTIFICACIÓN DEL REORDENAMIENTO v2.0</t>
  </si>
  <si>
    <t>Prioridad / Estado</t>
  </si>
  <si>
    <t>¿Por qué primero el sistema?</t>
  </si>
  <si>
    <t>HT = Historia Técnica
HU = Historia de Usuario</t>
  </si>
  <si>
    <t>Alta = indispensable
Media = deseado
COMPLETADO / EN CURSO / PENDIENTE</t>
  </si>
  <si>
    <t>Sprints 2–6: construir el sistema web completo con modelos placeholder → backend API, admin panel y visor 3D ya operativos antes de la captura real.
Sprints 7–8: fotogrametría y Blender cuando el sistema ya está listo para recibir los GLB.
Sprint 9: integrar los modelos reales en el sistema ya probado.</t>
  </si>
  <si>
    <t>Sprint 12</t>
  </si>
  <si>
    <t>• El modelo GLB REAL exterior carga correctamente desde la BD.
• Se aplican 3 niveles LOD según distancia de cámara (THREE.LOD).
• La cámara navega automáticamente a las coordenadas del modelo almacenadas en admin al seleccionar el edificio.
• El usuario puede rotar, hacer zoom y paneo sin restricciones.</t>
  </si>
  <si>
    <t>• Transición animada desde vista exterior en ≤3 s con modelo REAL cargado.
• Se renderizan pasillos, laboratorios, secretaría y decanato con texturas reales.
• El usuario puede regresar a la vista exterior con 'Vista Exterior'.
• El mini-mapa cambia al plano interior.</t>
  </si>
  <si>
    <t>• Los hotspots se muestran como íconos flotantes animados sobre el mapa Mapbox.
• Al hacer clic, el panel muestra: nombre, descripción, tipo, equipamiento, horario e imagen.
• El panel se cierra con botón X o clic fuera.
• Los marcadores usan la posición geográfica registrada en el admin.</t>
  </si>
  <si>
    <t>• Animación TWEEN de ~1.2 s ease-in-out al presionar el botón.
• El botón se desactiva durante la animación y se reactiva al finalizar.
• El mini-mapa refleja la posición inicial al terminar la animación.</t>
  </si>
  <si>
    <t>• CRUD completo de hotspots con formulario de validación inline.
• Los cambios se reflejan en el visor público sin recargar la página.
• Se puede activar/desactivar un hotspot sin eliminarlo.
• Confirmación de diálogo antes de eliminar cualquier hotspot o modelo.
• Se registra cada acción en el log de auditoría con timestamp, IP y usuario.</t>
  </si>
  <si>
    <t>• Login con email + contraseña (bcrypt factor ≥12).
• Bloqueo tras 5 intentos fallidos durante 30 min.
• Token JWT en cookie HttpOnly con expiración de 8 horas.
• Error genérico sin revelar cuál campo falló.</t>
  </si>
  <si>
    <t>• Formulario de carga que solo acepta .glb/.gltf con máx 50 MB.
• Barra de progreso de subida con porcentaje visible.
• El modelo queda disponible en el selector del visor tras publicar.
• El formulario de registro de modelo está disponible tanto en la sección Modelos como en la sección Edificios del admin (mismo formato).
• El sistema almacena ruta y metadatos en la BD.</t>
  </si>
  <si>
    <t>Como usuario quiero acceder a secciones informativas de Directorio, Acerca de y Ayuda desde el visor para obtener contactos institucionales, información del proyecto y orientación de uso.</t>
  </si>
  <si>
    <t>HT-16</t>
  </si>
  <si>
    <t>HT-17</t>
  </si>
  <si>
    <t>Integración Mapbox GL JS: mapa base real del campus ESPOCH y navegación por coordenadas del edificio</t>
  </si>
  <si>
    <t>Configurar token Mapbox en .env (pk.eyJ1... variable de entorno, no hardcodeado).
Renderizar edificios FIE como fill-extrusion rojos (#BC0613) sobre mapa satelital real de Riobamba.
Renderizar otros edificios ESPOCH como fill-extrusion azules.
Al seleccionar un edificio en el panel, la cámara Mapbox vuela (flyTo) a las coordenadas lng/lat exactas registradas en el admin, con zoom ≥16.
Tooltip al hover sobre cada edificio con nombre e ícono de tipo.
El mismo token funciona tanto en fie-admin como en fie-explorer-3d.</t>
  </si>
  <si>
    <t>RF-01, RF-04</t>
  </si>
  <si>
    <t>RF-13, RF-07</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</si>
  <si>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</si>
  <si>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</si>
  <si>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</si>
  <si>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
Confirmar paleta de colores institucional ESPOCH (#BC0613).</t>
  </si>
  <si>
    <t>Obtener salvoconducto del Decanato FIE para captura fotográfica.
Realizar captura fotográfica de todos los edificios exteriores y espacios interiores del edificio principal con solapamiento ≥60% frontal y ≥45% lateral.
Procesar las imágenes en Meshroom (SfM/MVS) por sectores.
Exportar nube de puntos y mallas raw (OBJ/PLY).
Prerequisito: haber completado HT-16 (capacitación Blender).</t>
  </si>
  <si>
    <t>Importar mallas raw de Meshroom a Blender.
Aplicar retopología para reducir polígonos (target ≤300.000 triángulos por escena simultánea).
Aplicar baking de texturas (iluminación precocinada, Normal map, AO).
Aplicar Gaussian Blur a rostros y placas vehiculares identificables en las texturas.
Crear 3 niveles LOD por modelo (alta &lt;5 m, media 5-20 m, baja &gt;20 m).
Exportar a GLB con compresión Draco.
Demostrar que se dominan las herramientas de Blender aprendidas en HT-16 aplicadas al modelo real.</t>
  </si>
  <si>
    <t>RF-10, RNF-01, RO-01</t>
  </si>
  <si>
    <t>Implementar función detectWebGL() ejecutada antes de cargar Three.js.
Crear pantalla de error descriptiva con lista de navegadores compatibles y enlace de descarga.
Implementar GLTFLoader con callback onProgress (porcentaje visible).
Implementar modo de baja resolución como fallback tras 30 s.
Gestión de Disposables para evitar fugas de memoria.</t>
  </si>
  <si>
    <t>Implementar API REST con Node.js/Express: endpoints CRUD hotspots, edificios y modelos con documentación Swagger</t>
  </si>
  <si>
    <t>Crear endpoints: GET/POST/PUT/DELETE /api/hotspots, /api/buildings, /api/models, /api/public/*.
Implementar validación de datos con Joi/express-validator.
Documentar con Swagger/OpenAPI 3.0 en /api/docs.
Implementar middleware de errores global y paginación.
Tiempo de respuesta ≤500 ms.</t>
  </si>
  <si>
    <t>Implementar POST /api/auth/login con verificación bcrypt factor ≥12.
Generar JWT con payload {userId, role, exp:8h} almacenado en cookie HttpOnly.
Implementar middleware authMiddleware en todas las rutas /admin/*.
Bloqueo tras 5 intentos fallidos (30 min).
Rate limiting por IP para emails no registrados.</t>
  </si>
  <si>
    <t>Implementar módulo de carga de archivos GLB y validación de formatos multimedia</t>
  </si>
  <si>
    <t>Implementar POST /api/models/upload con Multer.
Validar extensión (.glb/.gltf) y tamaño (≤50 MB) con mensajes de error descriptivos que no limpien el formulario.
Implementar validación de imágenes (JPG/PNG/WEBP, ≤2 MB) para hotspots.
Almacenar metadatos en BD (ruta, tamaño, fecha, building_id).
Mostrar barra de progreso de subida con porcentaje.</t>
  </si>
  <si>
    <t>Ejecutar suite de pruebas Jest/Vitest con cobertura ≥60% en módulos backend.
Medir FPS en hardware mínimo con DevTools Performance (target ≥30 FPS).
Verificar tiempos de carga &lt;10 s en Chrome, Firefox y Edge.
Prueba en Android e iOS con gestos táctiles.
Verificar que todos los flujos CRUD del admin funcionan end-to-end.
Generar reporte de pruebas con bugs encontrados y estado.</t>
  </si>
  <si>
    <t>Aplicar cuestionarios de evaluación de interacción a la muestra de 97 estudiantes (escala Likert 5 niveles).
Validar las 8 subcaracterísticas de Capacidad de Interacción.
Ejecutar Lighthouse/WAVE para verificar accesibilidad (score ≥80).
Elaborar reporte de resultados con análisis estadístico.</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</si>
  <si>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</si>
  <si>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</si>
  <si>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Implementar API REST con Node.js/Express: endpoints CRUD hotspots, edificios y modelos con Swagger</t>
  </si>
  <si>
    <t>Abrir Swagger UI en /api/docs y verificar todos los endpoints documentados. Probar GET hotspots, POST nuevo hotspot, PUT actualización, DELETE con Postman. Verificar que /api/public/* responde sin autenticación. Tiempos de respuesta ≤500 ms.</t>
  </si>
  <si>
    <t>Demo técnica: hacer login correcto y verificar cookie HttpOnly en DevTools. Hacer 5 intentos fallidos y verificar bloqueo de 30 min. Intentar acceder a /api/hotspots sin token y verificar error 401. Probar rate limiting con IP de email no registrado.</t>
  </si>
  <si>
    <t>Panel Admin – UI y gestión: Login seguro, CRUD de hotspots en el panel y medidas de seguridad HTTP.</t>
  </si>
  <si>
    <t>Como administrador quiero iniciar sesión con mis credenciales institucionales ESPOCH de forma segura</t>
  </si>
  <si>
    <t>Como administrador quiero gestionar (crear, editar, desactivar, eliminar) los hotspots desde un panel web</t>
  </si>
  <si>
    <t>Demo en vivo: crear un hotspot nuevo, editarlo, desactivarlo y reactivarlo. Confirmar diálogo de confirmación antes de eliminar. Abrir la tabla de logs y confirmar que cada acción quedó registrada con timestamp, IP y usuario.</t>
  </si>
  <si>
    <t>Demo: abrir la app sin WebGL → mensaje descriptivo con enlace. Cargar modelo GLB placeholder → barra de progreso con %. Poner red en Offline → 2 reintentos automáticos → mensaje amigable. Sin fugas de memoria al cambiar de vista (DevTools Memory tab).</t>
  </si>
  <si>
    <t>Token Mapbox configurado en .env (no hardcodeado). Edificios FIE visibles como fill-extrusion rojos (#BC0613) sobre mapa satelital real de Riobamba. Al seleccionar edificio, la cámara vuela (flyTo) a las coordenadas lng/lat registradas en admin con zoom ≥16. Tooltip al hover con nombre del edificio. El mismo token funciona en fie-admin y fie-explorer-3d.</t>
  </si>
  <si>
    <t>Configuración avanzada de modelos en admin: escala, offset, preview 3D y formulario unificado en Buildings</t>
  </si>
  <si>
    <t>Como administrador quiero visualizar los logs de auditoría para monitorear la actividad del sistema</t>
  </si>
  <si>
    <t>Tabla paginada con timestamp, usuario, IP y acción. Filtros por rango de fecha y tipo de acción funcionando. Exportación a CSV de los registros filtrados. Cada acción del admin genera automáticamente un registro verificable.</t>
  </si>
  <si>
    <t>Como usuario quiero acceder a secciones de Directorio, Acerca de y Ayuda desde el visor</t>
  </si>
  <si>
    <t>Frontend – Interacción completa: hotspots, mini-mapa, navegación, responsive y accesibilidad WCAG 2.1 AA.</t>
  </si>
  <si>
    <t>Como usuario quiero navegar libremente en el visor 3D usando controles de ratón, teclado y gestos táctiles</t>
  </si>
  <si>
    <t>Demo en vivo: rotación, zoom y paneo en escritorio; repetir gestos en dispositivo móvil físico. Confirmar overlay de instrucciones aparece y desaparece tras 5 s.</t>
  </si>
  <si>
    <t>Como usuario quiero hacer clic en hotspots interactivos del modelo 3D para consultar información</t>
  </si>
  <si>
    <t>Demo en vivo: hacer clic en al menos 3 hotspots de tipos distintos, verificar que el panel muestra todos los campos y se cierra correctamente. Los marcadores aparecen en la posición geográfica registrada en admin. Confirmar en móvil con toque.</t>
  </si>
  <si>
    <t>Como usuario quiero pulsar un botón 'Cámara Inicial' para regresar a la vista predeterminada</t>
  </si>
  <si>
    <t>Demo en vivo: navegar hasta posición lejana, presionar 'Cámara Inicial', verificar animación suave ~1.2 s, confirmar que el botón estuvo desactivado durante la animación.</t>
  </si>
  <si>
    <t>Como usuario de dispositivo móvil quiero que la interfaz sea responsive y los controles táctiles funcionen</t>
  </si>
  <si>
    <t>Fotogrametría – Captura: fotografía de edificios con solapamiento correcto y reconstrucción SfM/MVS en Meshroom.</t>
  </si>
  <si>
    <t>Mostrar fotografías capturadas (≥200 para exteriores, organizadas por edificio). Abrir Meshroom y mostrar nube de puntos densa generada. Exportar modelo OBJ/PLY y verificar que los edificios son reconocibles sin huecos críticos. Prerequisito HT-16 completado. [El sistema web está listo para recibir los GLB]</t>
  </si>
  <si>
    <t>Fotogrametría – Optimización: retopología, baking de texturas, LOD y exportación GLB con Draco en Blender.</t>
  </si>
  <si>
    <t>Optimización 3D en Blender: retopología, baking de texturas, Gaussian Blur y exportación GLB con Draco + LOD</t>
  </si>
  <si>
    <t>Integración 3D: carga de modelos GLB reales, ajuste en admin y activación del visor exterior e interior con modelos reales.</t>
  </si>
  <si>
    <t>Demo: subir GLB válido desde el panel admin → barra de progreso visible → confirmación de éxito → archivo en BD. Intentar subir .pdf y archivo de 60 MB → mensajes de error descriptivos sin limpiar el formulario. Subida de imagen de hotspot con formato y tamaño inválido → error inline.</t>
  </si>
  <si>
    <t>Como administrador quiero cargar nuevos archivos de modelo 3D en formato GLB al sistema</t>
  </si>
  <si>
    <t>Demo en vivo: subir el GLB real del Edificio Principal desde el admin, observar barra de progreso, confirmar éxito. Verificar que el modelo real reemplaza al placeholder en el visor. Formulario disponible tanto en sección Modelos como en Edificios.</t>
  </si>
  <si>
    <t>Como usuario quiero explorar el modelo 3D exterior REAL de todos los edificios de la FIE</t>
  </si>
  <si>
    <t>Demo en vivo con modelo REAL cargado: cronometrar tiempo de carga (≤10 s con ≥10 Mbps), verificar 3 controles (rotación, zoom, paneo), confirmar que el LOD cambia al acercar/alejar. Al seleccionar edificio, la cámara vuela a las coordenadas exactas registradas en admin con zoom correcto.</t>
  </si>
  <si>
    <t>Como usuario quiero explorar el modelo 3D interior REAL del edificio principal de la FIE</t>
  </si>
  <si>
    <t>Demo en vivo con modelo interior REAL: clic en 'Vista Interior' → animación de transición → navegar por al menos 3 espacios reconocibles (pasillo, laboratorio, secretaría). Confirmar que 'Vista Exterior' regresa correctamente. El mini-mapa cambia al plano interior.</t>
  </si>
  <si>
    <t>Cierre: Pruebas funcionales, evaluación ISO/IEC 25010, despliegue VPS y documentación técnica final.</t>
  </si>
  <si>
    <t>Reporte de cobertura ≥60%. Captura del Profiler de Chrome con FPS ≥30. Evidencia en Chrome, Firefox, Edge y 2 dispositivos móviles. Lista de bugs encontrados y estado de resolución.</t>
  </si>
  <si>
    <t>Reporte de evaluación con resultados por subcaracterística ISO/IEC 25010:2023. Score Lighthouse Accessibility ≥80. Tabla de resultados del cuestionario con al menos 30 respuestas.</t>
  </si>
  <si>
    <t>Demo en vivo: acceder a URL pública y verificar funcionamiento completo. Mostrar crontab de backup configurado. Detener backend y verificar página de mantenimiento. Mostrar uptime del servidor.</t>
  </si>
  <si>
    <t>Documentación técnica final: README, Swagger UI, guía de despliegue y SRS</t>
  </si>
  <si>
    <t>README completo: un desarrollador nuevo puede levantar el proyecto con los comandos descritos. /api/docs en producción con Swagger UI. SRS en PDF generado. Código en repositorio institucional ESPOCH.</t>
  </si>
  <si>
    <t>Configuración admin, secciones informativas, logs de auditoría.</t>
  </si>
  <si>
    <t>Implementar sistema de caché con Redis para optimización de performance de API y modelos</t>
  </si>
  <si>
    <t>Configurar Redis como caché layer entre la API y PostgreSQL
Caché de datos de hotspots (GET /api/hotspots con TTL 5 min)
Caché de metadatos de edificios y modelos 3D (rutas GLB, coordenadas)
Invalidación de caché cuando admin modifica contenido
Reducir tiempos de respuesta de API de 500ms a &lt;100ms
Cache warming al iniciar servidor con datos más consultados</t>
  </si>
  <si>
    <t>Verificar conexión entre Redis y la API. Realizar peticiones repetidas a GET /api/hotspots y comprobar reducción de tiempo de respuesta (&lt;100 ms) mediante caché. Modificar un hotspot y validar invalidación automática de caché. Confirmar en logs los eventos cache hit y cache invalidated.</t>
  </si>
  <si>
    <t>Como usuario quiero que el edificio que seleccioné se recuerde aunque recargue la página o navegue a otra sección</t>
  </si>
  <si>
    <t>• Al seleccionar un edificio, la selección se guarda automáticamente en localStorage.
• Al recargar la página, el edificio se restaura sin que el usuario tenga que buscarlo de nuevo.
• Al navegar a otra sección y volver al explorador, el edificio sigue seleccionado..
• Sin fugas de memoria al cambiar entre escena exterior e interior.
• Si el edificio guardado ya no existe en la BD (fue eliminado del admin), la selección se limpia silenciosamente sin error.
• El badge del edificio y los hotspots se restauran igual que si el usuario lo hubiese seleccionado manualmente.</t>
  </si>
  <si>
    <t>Frontend – Visor base: Feature Detection WebGL, campus mock 3D en Mapbox y Local Storage.</t>
  </si>
  <si>
    <t>Demo: seleccionar un edificio → recargar la página → el edificio permanece seleccionado automáticamente. Navegar a otra sección y volver al explorador → el edificio sigue activo. El badge, hotspots y vista asociada se restauran correctamente desde localStorage. Si el edificio fue eliminado desde admin, la selección se limpia automáticamente sin errores en consola. Verificar en DevTools que no existan fugas de memoria al alternar entre escenas interior/exterior.</t>
  </si>
  <si>
    <t>Configuración avanzada de modelos en panel admin: escala, offset, rotación, preview 3D y formulario unificado en Buildings</t>
  </si>
  <si>
    <t>Modal de escala (x/y/z + atajos ×0.01 a ×10), rotación (x/y/z) y offset (x/y/z) en los modelos. Mini-visor Three.js dentro del admin para preview del GLB sin ir al visor público. Formulario de registro de modelo disponible tanto en Modelos como en Edificios con el mismo diseño. Diálogo de confirmación antes de eliminar cualquier modelo. Los cambios de escala se reflejan en el visor público en ≤10 s.</t>
  </si>
  <si>
    <t>Modal de configuración de escala (x/y/z + atajos rápidos ×0.01 a ×10), rotación (x/y/z) y offset (x/y/z) en los modelos.
Preview 3D del modelo GLB dentro del panel admin (mini-visor Three.js) para verificar resultado sin ir al visor público.
Formulario de registro de modelo disponible tanto en la sección Modelos como en la sección Edificios del panel (mismo diseño y campos).
Confirmación de diálogo antes de eliminar cualquier modelo.
Cambios de escala/posición se reflejan en el visor público en ≤10 s (polling o refresco automático).</t>
  </si>
  <si>
    <t>Menú de navegación con acceso a 3 secciones. Directorio muestra datos de contacto FIE por departamento. Acerca de muestra información del proyecto. Ayuda muestra guía visual con íconos y capturas. Las 3 secciones son responsive y accesibles desde móvil.</t>
  </si>
  <si>
    <t>• Menú de navegación con acceso a 3 secciones: Directorio, Acerca de, Ayuda.
• Directorio muestra datos de contacto de la FIE organizados por departamento (nombre, correo, teléfono).
• Acerca de muestra información del proyecto y tecnologías usadas.
• Ayuda muestra guía visual de uso del explorador con íconos y capturas de pantalla.
• Las 3 secciones son responsive y accesibles desde móvil.</t>
  </si>
  <si>
    <t>Modelos exportados a GLB con compresión Draco: peso ≤50 MB cada uno. Tres niveles LOD visibles al cambiar distancia de cámara. Triángulos simultáneos ≤300.000 (verificar con Stats en Three.js). Gaussian Blur aplicado a rostros y placas en texturas. Modelos cargados correctamente en el visor real del proyecto.</t>
  </si>
  <si>
    <t xml:space="preserve">TOTAL HORAS BACKLOG (HU + 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</si>
</sst>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10"/>
      <color rgb="FFFFFFFF"/>
      <name val="Arial"/>
      <family val="2"/>
    </font>
    <font>
      <sz val="9"/>
      <color rgb="FF000000"/>
      <name val="Arial"/>
      <family val="2"/>
    </font>
    <font>
      <sz val="10"/>
      <color rgb="FFFFFFFF"/>
      <name val="Arial"/>
      <family val="2"/>
    </font>
    <font>
      <b/>
      <sz val="11"/>
      <color rgb="FF1F3864"/>
      <name val="Arial"/>
      <family val="2"/>
      <charset val="1"/>
    </font>
    <font>
      <sz val="9"/>
      <color rgb="FF000000"/>
      <name val="Arial"/>
      <family val="2"/>
      <charset val="1"/>
    </font>
    <font>
      <b/>
      <sz val="10"/>
      <color rgb="FFFFFFFF"/>
      <name val="Arial"/>
    </font>
    <font>
      <sz val="10"/>
      <name val="Arial"/>
    </font>
    <font>
      <b/>
      <sz val="9"/>
      <name val="Arial"/>
    </font>
    <font>
      <sz val="8"/>
      <color rgb="FF0D47A1"/>
      <name val="Arial"/>
    </font>
    <font>
      <sz val="8"/>
      <color rgb="FF374151"/>
      <name val="Arial"/>
    </font>
    <font>
      <sz val="8"/>
      <color rgb="FF7B4F00"/>
      <name val="Arial"/>
    </font>
    <font>
      <sz val="10"/>
      <name val="Arial"/>
      <family val="2"/>
    </font>
    <font>
      <b/>
      <sz val="11"/>
      <color theme="0"/>
      <name val="Aptos Narrow"/>
      <family val="2"/>
      <scheme val="minor"/>
    </font>
    <font>
      <sz val="9"/>
      <color rgb="FF555555"/>
      <name val="Arial"/>
      <family val="2"/>
    </font>
    <font>
      <b/>
      <sz val="9"/>
      <color rgb="FF7B4F00"/>
      <name val="Arial"/>
      <family val="2"/>
    </font>
    <font>
      <b/>
      <sz val="9"/>
      <color rgb="FF111111"/>
      <name val="Arial"/>
      <family val="2"/>
    </font>
    <font>
      <sz val="9"/>
      <color rgb="FF0D47A1"/>
      <name val="Arial"/>
      <family val="2"/>
    </font>
    <font>
      <b/>
      <sz val="9"/>
      <name val="Arial"/>
      <family val="2"/>
    </font>
    <font>
      <b/>
      <sz val="10"/>
      <color rgb="FF1F3864"/>
      <name val="Arial"/>
      <family val="2"/>
    </font>
    <font>
      <b/>
      <sz val="11"/>
      <name val="Arial"/>
      <family val="2"/>
    </font>
    <font>
      <sz val="9"/>
      <name val="Aptos Narrow"/>
      <family val="2"/>
      <scheme val="minor"/>
    </font>
    <font>
      <b/>
      <sz val="9"/>
      <name val="Aptos Narrow"/>
      <family val="2"/>
      <scheme val="minor"/>
    </font>
    <font>
      <b/>
      <sz val="10"/>
      <color theme="0"/>
      <name val="Arial"/>
      <family val="2"/>
    </font>
    <font>
      <b/>
      <sz val="12"/>
      <color theme="0"/>
      <name val="Arial"/>
      <family val="2"/>
    </font>
  </fonts>
  <fills count="53">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2E75B6"/>
        <bgColor rgb="FF333333"/>
      </patternFill>
    </fill>
    <fill>
      <patternFill patternType="solid">
        <fgColor theme="9" tint="0.79989013336588644"/>
        <bgColor rgb="FFDFF0D8"/>
      </patternFill>
    </fill>
    <fill>
      <patternFill patternType="solid">
        <fgColor rgb="FFE3F2FD"/>
      </patternFill>
    </fill>
    <fill>
      <patternFill patternType="solid">
        <fgColor rgb="FFFFFFFF"/>
      </patternFill>
    </fill>
    <fill>
      <patternFill patternType="solid">
        <fgColor rgb="FFE8F0FB"/>
      </patternFill>
    </fill>
    <fill>
      <patternFill patternType="solid">
        <fgColor rgb="FFFFF8E1"/>
      </patternFill>
    </fill>
    <fill>
      <patternFill patternType="solid">
        <fgColor rgb="FF8A0410"/>
      </patternFill>
    </fill>
    <fill>
      <patternFill patternType="solid">
        <fgColor rgb="FFF9FAFB"/>
      </patternFill>
    </fill>
    <fill>
      <patternFill patternType="solid">
        <fgColor theme="6" tint="0.79998168889431442"/>
        <bgColor indexed="64"/>
      </patternFill>
    </fill>
    <fill>
      <patternFill patternType="solid">
        <fgColor rgb="FFFFF9C4"/>
      </patternFill>
    </fill>
    <fill>
      <patternFill patternType="solid">
        <fgColor rgb="FFEEF5FB"/>
        <bgColor indexed="64"/>
      </patternFill>
    </fill>
    <fill>
      <patternFill patternType="solid">
        <fgColor rgb="FFBDD7EE"/>
        <bgColor indexed="64"/>
      </patternFill>
    </fill>
    <fill>
      <patternFill patternType="solid">
        <fgColor rgb="FF1F3864"/>
        <bgColor indexed="64"/>
      </patternFill>
    </fill>
  </fills>
  <borders count="16">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top/>
      <bottom/>
      <diagonal/>
    </border>
    <border>
      <left/>
      <right style="thin">
        <color rgb="FFCCCCCC"/>
      </right>
      <top/>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169">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2" fillId="33"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2" fillId="23" borderId="1" xfId="0" applyFont="1" applyFill="1" applyBorder="1" applyAlignment="1">
      <alignment horizontal="center" vertical="center" wrapText="1"/>
    </xf>
    <xf numFmtId="0" fontId="22" fillId="34" borderId="1" xfId="0" applyFont="1" applyFill="1" applyBorder="1" applyAlignment="1">
      <alignment horizontal="center" vertical="center" wrapText="1"/>
    </xf>
    <xf numFmtId="0" fontId="22" fillId="35" borderId="1" xfId="0" applyFont="1" applyFill="1" applyBorder="1" applyAlignment="1">
      <alignment horizontal="center" vertical="center" wrapText="1"/>
    </xf>
    <xf numFmtId="0" fontId="22" fillId="36"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2" fillId="38" borderId="1" xfId="0" applyFont="1" applyFill="1" applyBorder="1" applyAlignment="1">
      <alignment horizontal="center" vertical="center" wrapText="1"/>
    </xf>
    <xf numFmtId="0" fontId="22" fillId="39"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2" fillId="31" borderId="1" xfId="0" applyFont="1" applyFill="1" applyBorder="1" applyAlignment="1">
      <alignment horizontal="left" vertical="center" wrapText="1"/>
    </xf>
    <xf numFmtId="0" fontId="22" fillId="32" borderId="1" xfId="0" applyFont="1" applyFill="1" applyBorder="1" applyAlignment="1">
      <alignment horizontal="lef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4" fillId="41" borderId="1" xfId="0" applyFont="1" applyFill="1" applyBorder="1" applyAlignment="1">
      <alignment horizontal="center" vertical="center" wrapText="1"/>
    </xf>
    <xf numFmtId="0" fontId="25" fillId="33" borderId="1"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23" borderId="1" xfId="0" applyFont="1" applyFill="1" applyBorder="1" applyAlignment="1">
      <alignment horizontal="center" vertical="center" wrapText="1"/>
    </xf>
    <xf numFmtId="0" fontId="25" fillId="34" borderId="1" xfId="0" applyFont="1" applyFill="1" applyBorder="1" applyAlignment="1">
      <alignment horizontal="center" vertical="center" wrapText="1"/>
    </xf>
    <xf numFmtId="0" fontId="25" fillId="35" borderId="1" xfId="0" applyFont="1" applyFill="1" applyBorder="1" applyAlignment="1">
      <alignment horizontal="center" vertical="center" wrapText="1"/>
    </xf>
    <xf numFmtId="0" fontId="25" fillId="36"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5" fillId="38" borderId="1" xfId="0" applyFont="1" applyFill="1" applyBorder="1" applyAlignment="1">
      <alignment horizontal="center" vertical="center" wrapText="1"/>
    </xf>
    <xf numFmtId="0" fontId="25" fillId="39" borderId="1" xfId="0" applyFont="1" applyFill="1" applyBorder="1" applyAlignment="1">
      <alignment horizontal="center" vertical="center" wrapText="1"/>
    </xf>
    <xf numFmtId="0" fontId="27" fillId="43" borderId="0" xfId="0" applyFont="1" applyFill="1"/>
    <xf numFmtId="0" fontId="32" fillId="44" borderId="7" xfId="0" applyFont="1" applyFill="1" applyBorder="1" applyAlignment="1">
      <alignment horizontal="center" vertical="center" wrapText="1"/>
    </xf>
    <xf numFmtId="0" fontId="21" fillId="40" borderId="1" xfId="0" applyFont="1" applyFill="1" applyBorder="1" applyAlignment="1">
      <alignment horizontal="center" vertical="center" wrapText="1"/>
    </xf>
    <xf numFmtId="0" fontId="19" fillId="48" borderId="7" xfId="0" applyFont="1" applyFill="1" applyBorder="1" applyAlignment="1">
      <alignment horizontal="left" vertical="center" wrapText="1"/>
    </xf>
    <xf numFmtId="0" fontId="19" fillId="48" borderId="7"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19" fillId="50" borderId="7" xfId="0" applyFont="1" applyFill="1" applyBorder="1" applyAlignment="1">
      <alignment horizontal="center" vertical="center" wrapText="1"/>
    </xf>
    <xf numFmtId="0" fontId="34" fillId="50" borderId="7" xfId="0" applyFont="1" applyFill="1" applyBorder="1" applyAlignment="1">
      <alignment horizontal="left" vertical="center" wrapText="1"/>
    </xf>
    <xf numFmtId="0" fontId="35" fillId="50" borderId="7" xfId="0" applyFont="1" applyFill="1" applyBorder="1" applyAlignment="1">
      <alignment horizontal="center" vertical="center" wrapText="1"/>
    </xf>
    <xf numFmtId="0" fontId="37" fillId="49" borderId="7" xfId="0" applyFont="1" applyFill="1" applyBorder="1" applyAlignment="1">
      <alignment horizontal="center" vertical="center" wrapText="1"/>
    </xf>
    <xf numFmtId="0" fontId="36" fillId="51" borderId="7" xfId="0" applyFont="1" applyFill="1" applyBorder="1" applyAlignment="1">
      <alignment horizontal="center" vertical="center" wrapText="1"/>
    </xf>
    <xf numFmtId="0" fontId="19" fillId="44" borderId="7" xfId="0" applyFont="1" applyFill="1" applyBorder="1" applyAlignment="1">
      <alignment horizontal="left" vertical="center" wrapText="1"/>
    </xf>
    <xf numFmtId="0" fontId="19" fillId="44"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14" fontId="22" fillId="39" borderId="1" xfId="0" applyNumberFormat="1" applyFont="1" applyFill="1" applyBorder="1" applyAlignment="1">
      <alignment horizontal="center" vertical="center" wrapText="1"/>
    </xf>
    <xf numFmtId="0" fontId="39" fillId="29"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51" borderId="7" xfId="0" applyFont="1" applyFill="1" applyBorder="1" applyAlignment="1">
      <alignment horizontal="left" vertical="center" wrapText="1"/>
    </xf>
    <xf numFmtId="0" fontId="38" fillId="50" borderId="7" xfId="0" applyFont="1" applyFill="1" applyBorder="1" applyAlignment="1">
      <alignment horizontal="center" vertical="center" wrapText="1"/>
    </xf>
    <xf numFmtId="0" fontId="19" fillId="51"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22" fillId="20" borderId="1" xfId="0" applyFont="1" applyFill="1" applyBorder="1" applyAlignment="1">
      <alignment horizontal="left" vertical="center" wrapText="1"/>
    </xf>
    <xf numFmtId="0" fontId="22" fillId="30" borderId="1" xfId="0" applyFont="1" applyFill="1" applyBorder="1" applyAlignment="1">
      <alignment horizontal="left" vertical="center" wrapText="1"/>
    </xf>
    <xf numFmtId="0" fontId="20" fillId="35" borderId="1"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4" fillId="9" borderId="2" xfId="0" applyFont="1" applyFill="1" applyBorder="1" applyAlignment="1">
      <alignment horizontal="left"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11" fillId="16" borderId="2" xfId="0" applyFont="1" applyFill="1" applyBorder="1" applyAlignment="1">
      <alignment horizontal="center"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xf numFmtId="0" fontId="38" fillId="51" borderId="7" xfId="0" applyFont="1" applyFill="1" applyBorder="1" applyAlignment="1">
      <alignment horizontal="center" vertical="center" wrapText="1"/>
    </xf>
    <xf numFmtId="0" fontId="42" fillId="51" borderId="9" xfId="0" applyFont="1" applyFill="1" applyBorder="1"/>
    <xf numFmtId="0" fontId="42" fillId="51" borderId="8" xfId="0" applyFont="1" applyFill="1" applyBorder="1"/>
    <xf numFmtId="0" fontId="38" fillId="50" borderId="7" xfId="0" applyFont="1" applyFill="1" applyBorder="1" applyAlignment="1">
      <alignment horizontal="center" vertical="center"/>
    </xf>
    <xf numFmtId="0" fontId="42" fillId="50" borderId="8" xfId="0" applyFont="1" applyFill="1" applyBorder="1"/>
    <xf numFmtId="0" fontId="28" fillId="0" borderId="0" xfId="0" applyFont="1" applyAlignment="1">
      <alignment horizontal="center" vertical="center" wrapText="1"/>
    </xf>
    <xf numFmtId="0" fontId="0" fillId="0" borderId="0" xfId="0"/>
    <xf numFmtId="0" fontId="19" fillId="51" borderId="7" xfId="0" applyFont="1" applyFill="1" applyBorder="1" applyAlignment="1">
      <alignment horizontal="left" vertical="center" wrapText="1"/>
    </xf>
    <xf numFmtId="0" fontId="41" fillId="51" borderId="9" xfId="0" applyFont="1" applyFill="1" applyBorder="1"/>
    <xf numFmtId="0" fontId="41" fillId="51" borderId="8" xfId="0" applyFont="1" applyFill="1" applyBorder="1"/>
    <xf numFmtId="0" fontId="19" fillId="50" borderId="7" xfId="0" applyFont="1" applyFill="1" applyBorder="1" applyAlignment="1">
      <alignment horizontal="left" vertical="center" wrapText="1"/>
    </xf>
    <xf numFmtId="0" fontId="41" fillId="50" borderId="8" xfId="0" applyFont="1" applyFill="1" applyBorder="1"/>
    <xf numFmtId="0" fontId="30" fillId="47" borderId="7" xfId="0" applyFont="1" applyFill="1" applyBorder="1" applyAlignment="1">
      <alignment horizontal="left" vertical="center" wrapText="1"/>
    </xf>
    <xf numFmtId="0" fontId="31" fillId="45" borderId="7" xfId="0" applyFont="1" applyFill="1" applyBorder="1" applyAlignment="1">
      <alignment horizontal="left" vertical="center" wrapText="1"/>
    </xf>
    <xf numFmtId="0" fontId="26" fillId="46" borderId="0" xfId="0" applyFont="1" applyFill="1" applyAlignment="1">
      <alignment horizontal="center" vertical="center" wrapText="1"/>
    </xf>
    <xf numFmtId="0" fontId="38" fillId="50" borderId="7" xfId="0" applyFont="1" applyFill="1" applyBorder="1" applyAlignment="1">
      <alignment horizontal="center" vertical="center" wrapText="1"/>
    </xf>
    <xf numFmtId="0" fontId="42" fillId="50" borderId="9" xfId="0" applyFont="1" applyFill="1" applyBorder="1"/>
    <xf numFmtId="0" fontId="41" fillId="50" borderId="9" xfId="0" applyFont="1" applyFill="1" applyBorder="1"/>
    <xf numFmtId="0" fontId="38" fillId="48" borderId="7" xfId="0" applyFont="1" applyFill="1" applyBorder="1" applyAlignment="1">
      <alignment horizontal="center" vertical="center" wrapText="1"/>
    </xf>
    <xf numFmtId="0" fontId="42" fillId="48" borderId="8" xfId="0" applyFont="1" applyFill="1" applyBorder="1"/>
    <xf numFmtId="0" fontId="19" fillId="48" borderId="7" xfId="0" applyFont="1" applyFill="1" applyBorder="1" applyAlignment="1">
      <alignment horizontal="left" vertical="center" wrapText="1"/>
    </xf>
    <xf numFmtId="0" fontId="41" fillId="48" borderId="8" xfId="0" applyFont="1" applyFill="1" applyBorder="1"/>
    <xf numFmtId="14" fontId="38" fillId="50" borderId="7" xfId="0" applyNumberFormat="1" applyFont="1" applyFill="1" applyBorder="1" applyAlignment="1">
      <alignment horizontal="center" vertical="center" wrapText="1"/>
    </xf>
    <xf numFmtId="14" fontId="38" fillId="51" borderId="7"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0" fontId="33" fillId="52" borderId="0" xfId="0" applyFont="1" applyFill="1"/>
    <xf numFmtId="0" fontId="44" fillId="52"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14" fontId="38" fillId="50" borderId="7" xfId="0" applyNumberFormat="1" applyFont="1" applyFill="1" applyBorder="1" applyAlignment="1">
      <alignment horizontal="center" vertical="center" wrapText="1"/>
    </xf>
    <xf numFmtId="0" fontId="29" fillId="42" borderId="12" xfId="0" applyFont="1" applyFill="1" applyBorder="1" applyAlignment="1">
      <alignment horizontal="left" vertical="center" wrapText="1"/>
    </xf>
    <xf numFmtId="0" fontId="29" fillId="42" borderId="0" xfId="0" applyFont="1" applyFill="1" applyBorder="1" applyAlignment="1">
      <alignment horizontal="left" vertical="center" wrapText="1"/>
    </xf>
    <xf numFmtId="0" fontId="29" fillId="42" borderId="13" xfId="0" applyFont="1" applyFill="1" applyBorder="1" applyAlignment="1">
      <alignment horizontal="left" vertical="center" wrapText="1"/>
    </xf>
    <xf numFmtId="0" fontId="43" fillId="52" borderId="14" xfId="0" applyFont="1" applyFill="1" applyBorder="1" applyAlignment="1">
      <alignment horizontal="center" vertical="center" wrapText="1"/>
    </xf>
    <xf numFmtId="0" fontId="43" fillId="52" borderId="10" xfId="0" applyFont="1" applyFill="1" applyBorder="1" applyAlignment="1">
      <alignment horizontal="center" vertical="center" wrapText="1"/>
    </xf>
    <xf numFmtId="0" fontId="43" fillId="52" borderId="11" xfId="0" applyFont="1" applyFill="1" applyBorder="1" applyAlignment="1">
      <alignment horizontal="center" vertical="center" wrapText="1"/>
    </xf>
    <xf numFmtId="0" fontId="20" fillId="4" borderId="1" xfId="0" applyFont="1" applyFill="1" applyBorder="1" applyAlignment="1">
      <alignment horizontal="center" vertical="center" wrapText="1"/>
    </xf>
    <xf numFmtId="0" fontId="38" fillId="51" borderId="15" xfId="0" applyFont="1" applyFill="1" applyBorder="1" applyAlignment="1">
      <alignment horizontal="center" vertical="center" wrapText="1"/>
    </xf>
    <xf numFmtId="0" fontId="38" fillId="51" borderId="9" xfId="0" applyFont="1" applyFill="1" applyBorder="1" applyAlignment="1">
      <alignment horizontal="center" vertical="center" wrapText="1"/>
    </xf>
    <xf numFmtId="0" fontId="38" fillId="51" borderId="8" xfId="0" applyFont="1" applyFill="1" applyBorder="1" applyAlignment="1">
      <alignment horizontal="center" vertical="center" wrapText="1"/>
    </xf>
    <xf numFmtId="0" fontId="19" fillId="51" borderId="15" xfId="0" applyFont="1" applyFill="1" applyBorder="1" applyAlignment="1">
      <alignment horizontal="center" vertical="center" wrapText="1"/>
    </xf>
    <xf numFmtId="0" fontId="19" fillId="51" borderId="9" xfId="0" applyFont="1" applyFill="1" applyBorder="1" applyAlignment="1">
      <alignment horizontal="center" vertical="center" wrapText="1"/>
    </xf>
    <xf numFmtId="0" fontId="19" fillId="51" borderId="8" xfId="0" applyFont="1" applyFill="1" applyBorder="1" applyAlignment="1">
      <alignment horizontal="center" vertical="center" wrapText="1"/>
    </xf>
    <xf numFmtId="14" fontId="38" fillId="51" borderId="15" xfId="0" applyNumberFormat="1" applyFont="1" applyFill="1" applyBorder="1" applyAlignment="1">
      <alignment horizontal="center" vertical="center" wrapText="1"/>
    </xf>
    <xf numFmtId="14" fontId="38" fillId="51" borderId="9" xfId="0" applyNumberFormat="1" applyFont="1" applyFill="1" applyBorder="1" applyAlignment="1">
      <alignment horizontal="center" vertical="center" wrapText="1"/>
    </xf>
    <xf numFmtId="14" fontId="38" fillId="51" borderId="8" xfId="0" applyNumberFormat="1" applyFont="1" applyFill="1" applyBorder="1" applyAlignment="1">
      <alignment horizontal="center" vertical="center" wrapText="1"/>
    </xf>
    <xf numFmtId="0" fontId="42" fillId="48" borderId="9" xfId="0" applyFont="1" applyFill="1" applyBorder="1"/>
    <xf numFmtId="0" fontId="41" fillId="48" borderId="9" xfId="0" applyFont="1" applyFill="1" applyBorder="1"/>
  </cellXfs>
  <cellStyles count="1">
    <cellStyle name="Normal" xfId="0" builtinId="0"/>
  </cellStyles>
  <dxfs count="0"/>
  <tableStyles count="0" defaultTableStyle="TableStyleMedium2" defaultPivotStyle="PivotStyleLight16"/>
  <colors>
    <mruColors>
      <color rgb="FFBDD7EE"/>
      <color rgb="FFEEF5FB"/>
      <color rgb="FF1F3864"/>
      <color rgb="FF2E75B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10"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11" t="s">
        <v>205</v>
      </c>
      <c r="B1" s="111"/>
      <c r="C1" s="111"/>
      <c r="D1" s="111"/>
      <c r="E1" s="111"/>
      <c r="F1" s="111"/>
      <c r="G1" s="111"/>
      <c r="H1" s="111"/>
      <c r="I1" s="111"/>
    </row>
    <row r="2" spans="1:9" ht="32.4" customHeight="1" x14ac:dyDescent="0.3">
      <c r="A2" s="7" t="s">
        <v>73</v>
      </c>
      <c r="B2" s="106" t="s">
        <v>206</v>
      </c>
      <c r="C2" s="106"/>
      <c r="D2" s="106"/>
      <c r="E2" s="106"/>
      <c r="F2" s="7" t="s">
        <v>74</v>
      </c>
      <c r="G2" s="100" t="s">
        <v>196</v>
      </c>
      <c r="H2" s="101"/>
      <c r="I2" s="102"/>
    </row>
    <row r="3" spans="1:9" ht="24" customHeight="1" x14ac:dyDescent="0.3">
      <c r="A3" s="7" t="s">
        <v>75</v>
      </c>
      <c r="B3" s="106" t="s">
        <v>76</v>
      </c>
      <c r="C3" s="106"/>
      <c r="D3" s="106"/>
      <c r="E3" s="106"/>
      <c r="F3" s="7" t="s">
        <v>77</v>
      </c>
      <c r="G3" s="100" t="s">
        <v>78</v>
      </c>
      <c r="H3" s="101"/>
      <c r="I3" s="102"/>
    </row>
    <row r="4" spans="1:9" ht="24" x14ac:dyDescent="0.3">
      <c r="A4" s="7" t="s">
        <v>79</v>
      </c>
      <c r="B4" s="106" t="s">
        <v>80</v>
      </c>
      <c r="C4" s="106"/>
      <c r="D4" s="106"/>
      <c r="E4" s="106"/>
      <c r="F4" s="7" t="s">
        <v>81</v>
      </c>
      <c r="G4" s="100" t="s">
        <v>82</v>
      </c>
      <c r="H4" s="101"/>
      <c r="I4" s="102"/>
    </row>
    <row r="5" spans="1:9" ht="30" customHeight="1" x14ac:dyDescent="0.3">
      <c r="A5" s="7" t="s">
        <v>83</v>
      </c>
      <c r="B5" s="106" t="s">
        <v>84</v>
      </c>
      <c r="C5" s="106"/>
      <c r="D5" s="106"/>
      <c r="E5" s="106"/>
      <c r="F5" s="7" t="s">
        <v>85</v>
      </c>
      <c r="G5" s="100" t="s">
        <v>86</v>
      </c>
      <c r="H5" s="101"/>
      <c r="I5" s="102"/>
    </row>
    <row r="6" spans="1:9" ht="24" x14ac:dyDescent="0.3">
      <c r="A6" s="7" t="s">
        <v>87</v>
      </c>
      <c r="B6" s="106" t="s">
        <v>88</v>
      </c>
      <c r="C6" s="106"/>
      <c r="D6" s="106"/>
      <c r="E6" s="106"/>
      <c r="F6" s="7" t="s">
        <v>89</v>
      </c>
      <c r="G6" s="100" t="s">
        <v>197</v>
      </c>
      <c r="H6" s="101"/>
      <c r="I6" s="102"/>
    </row>
    <row r="7" spans="1:9" ht="24" customHeight="1" x14ac:dyDescent="0.3">
      <c r="A7" s="7" t="s">
        <v>90</v>
      </c>
      <c r="B7" s="106" t="s">
        <v>91</v>
      </c>
      <c r="C7" s="106"/>
      <c r="D7" s="106"/>
      <c r="E7" s="106"/>
      <c r="F7" s="7" t="s">
        <v>92</v>
      </c>
      <c r="G7" s="100" t="s">
        <v>93</v>
      </c>
      <c r="H7" s="101"/>
      <c r="I7" s="102"/>
    </row>
    <row r="8" spans="1:9" ht="24" x14ac:dyDescent="0.3">
      <c r="A8" s="7" t="s">
        <v>94</v>
      </c>
      <c r="B8" s="106" t="s">
        <v>95</v>
      </c>
      <c r="C8" s="106"/>
      <c r="D8" s="106"/>
      <c r="E8" s="106"/>
      <c r="F8" s="7" t="s">
        <v>96</v>
      </c>
      <c r="G8" s="100" t="s">
        <v>97</v>
      </c>
      <c r="H8" s="101"/>
      <c r="I8" s="102"/>
    </row>
    <row r="10" spans="1:9" ht="52.8" x14ac:dyDescent="0.3">
      <c r="A10" s="8" t="s">
        <v>98</v>
      </c>
      <c r="B10" s="8" t="s">
        <v>1</v>
      </c>
      <c r="C10" s="8" t="s">
        <v>99</v>
      </c>
      <c r="D10" s="8" t="s">
        <v>69</v>
      </c>
      <c r="E10" s="8" t="s">
        <v>100</v>
      </c>
      <c r="F10" s="8" t="s">
        <v>5</v>
      </c>
      <c r="G10" s="8" t="s">
        <v>101</v>
      </c>
      <c r="H10" s="8" t="s">
        <v>207</v>
      </c>
      <c r="I10" s="8" t="s">
        <v>102</v>
      </c>
    </row>
    <row r="11" spans="1:9" ht="14.4" customHeight="1" x14ac:dyDescent="0.3">
      <c r="A11" s="116" t="s">
        <v>103</v>
      </c>
      <c r="B11" s="117"/>
      <c r="C11" s="117"/>
      <c r="D11" s="117"/>
      <c r="E11" s="117"/>
      <c r="F11" s="117"/>
      <c r="G11" s="117"/>
      <c r="H11" s="117"/>
      <c r="I11" s="118"/>
    </row>
    <row r="12" spans="1:9" ht="45.6" x14ac:dyDescent="0.3">
      <c r="A12" s="9">
        <v>1</v>
      </c>
      <c r="B12" s="9" t="s">
        <v>8</v>
      </c>
      <c r="C12" s="10" t="s">
        <v>104</v>
      </c>
      <c r="D12" s="11" t="s">
        <v>105</v>
      </c>
      <c r="E12" s="12" t="s">
        <v>106</v>
      </c>
      <c r="F12" s="13" t="s">
        <v>107</v>
      </c>
      <c r="G12" s="14" t="s">
        <v>108</v>
      </c>
      <c r="H12" s="43">
        <v>7</v>
      </c>
      <c r="I12" s="15" t="s">
        <v>109</v>
      </c>
    </row>
    <row r="13" spans="1:9" ht="45.6" x14ac:dyDescent="0.3">
      <c r="A13" s="9">
        <v>2</v>
      </c>
      <c r="B13" s="9" t="s">
        <v>13</v>
      </c>
      <c r="C13" s="16" t="s">
        <v>110</v>
      </c>
      <c r="D13" s="11" t="s">
        <v>105</v>
      </c>
      <c r="E13" s="17" t="s">
        <v>111</v>
      </c>
      <c r="F13" s="13" t="s">
        <v>107</v>
      </c>
      <c r="G13" s="18" t="s">
        <v>112</v>
      </c>
      <c r="H13" s="43">
        <v>7</v>
      </c>
      <c r="I13" s="19" t="s">
        <v>109</v>
      </c>
    </row>
    <row r="14" spans="1:9" ht="45.6" x14ac:dyDescent="0.3">
      <c r="A14" s="9">
        <v>3</v>
      </c>
      <c r="B14" s="9" t="s">
        <v>16</v>
      </c>
      <c r="C14" s="10" t="s">
        <v>113</v>
      </c>
      <c r="D14" s="11" t="s">
        <v>105</v>
      </c>
      <c r="E14" s="12" t="s">
        <v>114</v>
      </c>
      <c r="F14" s="13" t="s">
        <v>107</v>
      </c>
      <c r="G14" s="14" t="s">
        <v>115</v>
      </c>
      <c r="H14" s="43">
        <v>5</v>
      </c>
      <c r="I14" s="15" t="s">
        <v>109</v>
      </c>
    </row>
    <row r="15" spans="1:9" ht="57" x14ac:dyDescent="0.3">
      <c r="A15" s="9">
        <v>4</v>
      </c>
      <c r="B15" s="9" t="s">
        <v>19</v>
      </c>
      <c r="C15" s="16" t="s">
        <v>116</v>
      </c>
      <c r="D15" s="11" t="s">
        <v>105</v>
      </c>
      <c r="E15" s="17" t="s">
        <v>117</v>
      </c>
      <c r="F15" s="13" t="s">
        <v>107</v>
      </c>
      <c r="G15" s="18" t="s">
        <v>118</v>
      </c>
      <c r="H15" s="43">
        <v>6</v>
      </c>
      <c r="I15" s="19" t="s">
        <v>109</v>
      </c>
    </row>
    <row r="16" spans="1:9" ht="57" x14ac:dyDescent="0.3">
      <c r="A16" s="9">
        <v>5</v>
      </c>
      <c r="B16" s="9" t="s">
        <v>21</v>
      </c>
      <c r="C16" s="10" t="s">
        <v>119</v>
      </c>
      <c r="D16" s="11" t="s">
        <v>105</v>
      </c>
      <c r="E16" s="12" t="s">
        <v>120</v>
      </c>
      <c r="F16" s="13" t="s">
        <v>107</v>
      </c>
      <c r="G16" s="14" t="s">
        <v>121</v>
      </c>
      <c r="H16" s="43">
        <v>5</v>
      </c>
      <c r="I16" s="15" t="s">
        <v>109</v>
      </c>
    </row>
    <row r="17" spans="1:9" ht="45.6" x14ac:dyDescent="0.3">
      <c r="A17" s="9">
        <v>6</v>
      </c>
      <c r="B17" s="9" t="s">
        <v>24</v>
      </c>
      <c r="C17" s="16" t="s">
        <v>122</v>
      </c>
      <c r="D17" s="11" t="s">
        <v>105</v>
      </c>
      <c r="E17" s="17" t="s">
        <v>123</v>
      </c>
      <c r="F17" s="13" t="s">
        <v>107</v>
      </c>
      <c r="G17" s="18" t="s">
        <v>124</v>
      </c>
      <c r="H17" s="43">
        <v>2</v>
      </c>
      <c r="I17" s="19" t="s">
        <v>109</v>
      </c>
    </row>
    <row r="18" spans="1:9" ht="68.400000000000006" x14ac:dyDescent="0.3">
      <c r="A18" s="9">
        <v>7</v>
      </c>
      <c r="B18" s="9" t="s">
        <v>27</v>
      </c>
      <c r="C18" s="10" t="s">
        <v>125</v>
      </c>
      <c r="D18" s="11" t="s">
        <v>105</v>
      </c>
      <c r="E18" s="12" t="s">
        <v>126</v>
      </c>
      <c r="F18" s="13" t="s">
        <v>107</v>
      </c>
      <c r="G18" s="14" t="s">
        <v>127</v>
      </c>
      <c r="H18" s="43">
        <v>14</v>
      </c>
      <c r="I18" s="20" t="s">
        <v>202</v>
      </c>
    </row>
    <row r="19" spans="1:9" ht="57" x14ac:dyDescent="0.3">
      <c r="A19" s="9">
        <v>8</v>
      </c>
      <c r="B19" s="9" t="s">
        <v>31</v>
      </c>
      <c r="C19" s="16" t="s">
        <v>128</v>
      </c>
      <c r="D19" s="11" t="s">
        <v>105</v>
      </c>
      <c r="E19" s="17" t="s">
        <v>129</v>
      </c>
      <c r="F19" s="13" t="s">
        <v>107</v>
      </c>
      <c r="G19" s="18" t="s">
        <v>130</v>
      </c>
      <c r="H19" s="43">
        <v>4</v>
      </c>
      <c r="I19" s="19" t="s">
        <v>109</v>
      </c>
    </row>
    <row r="20" spans="1:9" ht="45.6" x14ac:dyDescent="0.3">
      <c r="A20" s="9">
        <v>9</v>
      </c>
      <c r="B20" s="9" t="s">
        <v>53</v>
      </c>
      <c r="C20" s="10" t="s">
        <v>131</v>
      </c>
      <c r="D20" s="11" t="s">
        <v>105</v>
      </c>
      <c r="E20" s="12" t="s">
        <v>132</v>
      </c>
      <c r="F20" s="13" t="s">
        <v>107</v>
      </c>
      <c r="G20" s="14" t="s">
        <v>108</v>
      </c>
      <c r="H20" s="43">
        <v>6</v>
      </c>
      <c r="I20" s="15" t="s">
        <v>109</v>
      </c>
    </row>
    <row r="21" spans="1:9" ht="57" x14ac:dyDescent="0.3">
      <c r="A21" s="9">
        <v>10</v>
      </c>
      <c r="B21" s="9" t="s">
        <v>133</v>
      </c>
      <c r="C21" s="16" t="s">
        <v>134</v>
      </c>
      <c r="D21" s="11" t="s">
        <v>105</v>
      </c>
      <c r="E21" s="17" t="s">
        <v>135</v>
      </c>
      <c r="F21" s="13" t="s">
        <v>107</v>
      </c>
      <c r="G21" s="18" t="s">
        <v>136</v>
      </c>
      <c r="H21" s="43">
        <v>7</v>
      </c>
      <c r="I21" s="19" t="s">
        <v>109</v>
      </c>
    </row>
    <row r="22" spans="1:9" ht="57" x14ac:dyDescent="0.3">
      <c r="A22" s="9">
        <v>11</v>
      </c>
      <c r="B22" s="9" t="s">
        <v>33</v>
      </c>
      <c r="C22" s="10" t="s">
        <v>137</v>
      </c>
      <c r="D22" s="11" t="s">
        <v>105</v>
      </c>
      <c r="E22" s="12" t="s">
        <v>138</v>
      </c>
      <c r="F22" s="21" t="s">
        <v>139</v>
      </c>
      <c r="G22" s="14" t="s">
        <v>136</v>
      </c>
      <c r="H22" s="43">
        <v>3</v>
      </c>
      <c r="I22" s="15" t="s">
        <v>109</v>
      </c>
    </row>
    <row r="23" spans="1:9" ht="57" x14ac:dyDescent="0.3">
      <c r="A23" s="9">
        <v>12</v>
      </c>
      <c r="B23" s="9" t="s">
        <v>37</v>
      </c>
      <c r="C23" s="16" t="s">
        <v>140</v>
      </c>
      <c r="D23" s="11" t="s">
        <v>105</v>
      </c>
      <c r="E23" s="17" t="s">
        <v>141</v>
      </c>
      <c r="F23" s="13" t="s">
        <v>107</v>
      </c>
      <c r="G23" s="18" t="s">
        <v>142</v>
      </c>
      <c r="H23" s="43">
        <v>10</v>
      </c>
      <c r="I23" s="19" t="s">
        <v>109</v>
      </c>
    </row>
    <row r="24" spans="1:9" ht="68.400000000000006" x14ac:dyDescent="0.3">
      <c r="A24" s="9">
        <v>13</v>
      </c>
      <c r="B24" s="9" t="s">
        <v>143</v>
      </c>
      <c r="C24" s="10" t="s">
        <v>144</v>
      </c>
      <c r="D24" s="11" t="s">
        <v>105</v>
      </c>
      <c r="E24" s="12" t="s">
        <v>145</v>
      </c>
      <c r="F24" s="21" t="s">
        <v>139</v>
      </c>
      <c r="G24" s="14" t="s">
        <v>146</v>
      </c>
      <c r="H24" s="43">
        <v>5</v>
      </c>
      <c r="I24" s="22" t="s">
        <v>201</v>
      </c>
    </row>
    <row r="25" spans="1:9" ht="57" x14ac:dyDescent="0.3">
      <c r="A25" s="9">
        <v>14</v>
      </c>
      <c r="B25" s="9" t="s">
        <v>147</v>
      </c>
      <c r="C25" s="16" t="s">
        <v>148</v>
      </c>
      <c r="D25" s="11" t="s">
        <v>105</v>
      </c>
      <c r="E25" s="17" t="s">
        <v>149</v>
      </c>
      <c r="F25" s="21" t="s">
        <v>139</v>
      </c>
      <c r="G25" s="18" t="s">
        <v>150</v>
      </c>
      <c r="H25" s="43">
        <v>4</v>
      </c>
      <c r="I25" s="22" t="s">
        <v>200</v>
      </c>
    </row>
    <row r="26" spans="1:9" ht="57" x14ac:dyDescent="0.3">
      <c r="A26" s="9">
        <v>15</v>
      </c>
      <c r="B26" s="9" t="s">
        <v>151</v>
      </c>
      <c r="C26" s="10" t="s">
        <v>152</v>
      </c>
      <c r="D26" s="11" t="s">
        <v>105</v>
      </c>
      <c r="E26" s="12" t="s">
        <v>153</v>
      </c>
      <c r="F26" s="13" t="s">
        <v>107</v>
      </c>
      <c r="G26" s="14" t="s">
        <v>154</v>
      </c>
      <c r="H26" s="43">
        <v>6</v>
      </c>
      <c r="I26" s="22" t="s">
        <v>198</v>
      </c>
    </row>
    <row r="27" spans="1:9" ht="57" x14ac:dyDescent="0.3">
      <c r="A27" s="9">
        <v>16</v>
      </c>
      <c r="B27" s="9" t="s">
        <v>155</v>
      </c>
      <c r="C27" s="16" t="s">
        <v>156</v>
      </c>
      <c r="D27" s="11" t="s">
        <v>105</v>
      </c>
      <c r="E27" s="17" t="s">
        <v>157</v>
      </c>
      <c r="F27" s="21" t="s">
        <v>139</v>
      </c>
      <c r="G27" s="18" t="s">
        <v>127</v>
      </c>
      <c r="H27" s="43">
        <v>8</v>
      </c>
      <c r="I27" s="22" t="s">
        <v>199</v>
      </c>
    </row>
    <row r="28" spans="1:9" ht="14.4" customHeight="1" x14ac:dyDescent="0.3">
      <c r="A28" s="112" t="s">
        <v>158</v>
      </c>
      <c r="B28" s="113"/>
      <c r="C28" s="113"/>
      <c r="D28" s="113"/>
      <c r="E28" s="113"/>
      <c r="F28" s="113"/>
      <c r="G28" s="113"/>
      <c r="H28" s="113"/>
      <c r="I28" s="113"/>
    </row>
    <row r="29" spans="1:9" ht="45.6" x14ac:dyDescent="0.3">
      <c r="A29" s="9">
        <v>17</v>
      </c>
      <c r="B29" s="9" t="s">
        <v>159</v>
      </c>
      <c r="C29" s="23" t="s">
        <v>160</v>
      </c>
      <c r="D29" s="24" t="s">
        <v>161</v>
      </c>
      <c r="E29" s="25" t="s">
        <v>162</v>
      </c>
      <c r="F29" s="13" t="s">
        <v>107</v>
      </c>
      <c r="G29" s="26" t="s">
        <v>136</v>
      </c>
      <c r="H29" s="43">
        <v>6</v>
      </c>
      <c r="I29" s="27" t="s">
        <v>109</v>
      </c>
    </row>
    <row r="30" spans="1:9" ht="79.8" x14ac:dyDescent="0.3">
      <c r="A30" s="9">
        <v>18</v>
      </c>
      <c r="B30" s="9" t="s">
        <v>163</v>
      </c>
      <c r="C30" s="28" t="s">
        <v>164</v>
      </c>
      <c r="D30" s="24" t="s">
        <v>161</v>
      </c>
      <c r="E30" s="29" t="s">
        <v>165</v>
      </c>
      <c r="F30" s="13" t="s">
        <v>107</v>
      </c>
      <c r="G30" s="30" t="s">
        <v>166</v>
      </c>
      <c r="H30" s="43">
        <v>10</v>
      </c>
      <c r="I30" s="31" t="s">
        <v>109</v>
      </c>
    </row>
    <row r="31" spans="1:9" ht="68.400000000000006" x14ac:dyDescent="0.3">
      <c r="A31" s="9">
        <v>19</v>
      </c>
      <c r="B31" s="9" t="s">
        <v>167</v>
      </c>
      <c r="C31" s="23" t="s">
        <v>168</v>
      </c>
      <c r="D31" s="24" t="s">
        <v>161</v>
      </c>
      <c r="E31" s="25" t="s">
        <v>169</v>
      </c>
      <c r="F31" s="13" t="s">
        <v>107</v>
      </c>
      <c r="G31" s="26" t="s">
        <v>170</v>
      </c>
      <c r="H31" s="43">
        <v>4</v>
      </c>
      <c r="I31" s="27" t="s">
        <v>109</v>
      </c>
    </row>
    <row r="32" spans="1:9" ht="57" x14ac:dyDescent="0.3">
      <c r="A32" s="9">
        <v>20</v>
      </c>
      <c r="B32" s="9" t="s">
        <v>171</v>
      </c>
      <c r="C32" s="28" t="s">
        <v>172</v>
      </c>
      <c r="D32" s="24" t="s">
        <v>161</v>
      </c>
      <c r="E32" s="29" t="s">
        <v>173</v>
      </c>
      <c r="F32" s="21" t="s">
        <v>139</v>
      </c>
      <c r="G32" s="30" t="s">
        <v>170</v>
      </c>
      <c r="H32" s="43">
        <v>4</v>
      </c>
      <c r="I32" s="31" t="s">
        <v>109</v>
      </c>
    </row>
    <row r="33" spans="1:9" ht="79.8" x14ac:dyDescent="0.3">
      <c r="A33" s="9">
        <v>21</v>
      </c>
      <c r="B33" s="9" t="s">
        <v>50</v>
      </c>
      <c r="C33" s="23" t="s">
        <v>174</v>
      </c>
      <c r="D33" s="24" t="s">
        <v>161</v>
      </c>
      <c r="E33" s="25" t="s">
        <v>175</v>
      </c>
      <c r="F33" s="21" t="s">
        <v>139</v>
      </c>
      <c r="G33" s="26" t="s">
        <v>154</v>
      </c>
      <c r="H33" s="43">
        <v>6</v>
      </c>
      <c r="I33" s="27" t="s">
        <v>109</v>
      </c>
    </row>
    <row r="34" spans="1:9" ht="68.400000000000006" x14ac:dyDescent="0.3">
      <c r="A34" s="9">
        <v>22</v>
      </c>
      <c r="B34" s="9" t="s">
        <v>176</v>
      </c>
      <c r="C34" s="28" t="s">
        <v>177</v>
      </c>
      <c r="D34" s="24" t="s">
        <v>161</v>
      </c>
      <c r="E34" s="29" t="s">
        <v>178</v>
      </c>
      <c r="F34" s="13" t="s">
        <v>107</v>
      </c>
      <c r="G34" s="30" t="s">
        <v>142</v>
      </c>
      <c r="H34" s="43">
        <v>5</v>
      </c>
      <c r="I34" s="31" t="s">
        <v>109</v>
      </c>
    </row>
    <row r="35" spans="1:9" ht="14.4" customHeight="1" x14ac:dyDescent="0.3">
      <c r="A35" s="114" t="s">
        <v>179</v>
      </c>
      <c r="B35" s="115"/>
      <c r="C35" s="115"/>
      <c r="D35" s="115"/>
      <c r="E35" s="115"/>
      <c r="F35" s="115"/>
      <c r="G35" s="115"/>
      <c r="H35" s="115"/>
      <c r="I35" s="115"/>
    </row>
    <row r="36" spans="1:9" ht="57" x14ac:dyDescent="0.3">
      <c r="A36" s="9">
        <v>23</v>
      </c>
      <c r="B36" s="9" t="s">
        <v>180</v>
      </c>
      <c r="C36" s="32" t="s">
        <v>181</v>
      </c>
      <c r="D36" s="33" t="s">
        <v>182</v>
      </c>
      <c r="E36" s="34" t="s">
        <v>183</v>
      </c>
      <c r="F36" s="13" t="s">
        <v>107</v>
      </c>
      <c r="G36" s="35" t="s">
        <v>108</v>
      </c>
      <c r="H36" s="36">
        <v>0</v>
      </c>
      <c r="I36" s="37" t="s">
        <v>109</v>
      </c>
    </row>
    <row r="37" spans="1:9" ht="57" x14ac:dyDescent="0.3">
      <c r="A37" s="9">
        <v>24</v>
      </c>
      <c r="B37" s="9" t="s">
        <v>184</v>
      </c>
      <c r="C37" s="38" t="s">
        <v>185</v>
      </c>
      <c r="D37" s="33" t="s">
        <v>182</v>
      </c>
      <c r="E37" s="39" t="s">
        <v>186</v>
      </c>
      <c r="F37" s="13" t="s">
        <v>107</v>
      </c>
      <c r="G37" s="40" t="s">
        <v>170</v>
      </c>
      <c r="H37" s="41">
        <v>0</v>
      </c>
      <c r="I37" s="42" t="s">
        <v>109</v>
      </c>
    </row>
    <row r="38" spans="1:9" ht="57" x14ac:dyDescent="0.3">
      <c r="A38" s="9">
        <v>25</v>
      </c>
      <c r="B38" s="9" t="s">
        <v>187</v>
      </c>
      <c r="C38" s="32" t="s">
        <v>188</v>
      </c>
      <c r="D38" s="33" t="s">
        <v>182</v>
      </c>
      <c r="E38" s="34" t="s">
        <v>189</v>
      </c>
      <c r="F38" s="13" t="s">
        <v>107</v>
      </c>
      <c r="G38" s="35" t="s">
        <v>136</v>
      </c>
      <c r="H38" s="36">
        <v>0</v>
      </c>
      <c r="I38" s="37" t="s">
        <v>109</v>
      </c>
    </row>
    <row r="40" spans="1:9" x14ac:dyDescent="0.3">
      <c r="A40" s="103" t="s">
        <v>190</v>
      </c>
      <c r="B40" s="103"/>
      <c r="C40" s="103"/>
      <c r="D40" s="103"/>
      <c r="E40" s="103"/>
      <c r="F40" s="103"/>
      <c r="G40" s="103"/>
      <c r="H40" s="103"/>
      <c r="I40" s="103"/>
    </row>
    <row r="41" spans="1:9" x14ac:dyDescent="0.3">
      <c r="A41" s="104" t="s">
        <v>203</v>
      </c>
      <c r="B41" s="104"/>
      <c r="C41" s="105" t="s">
        <v>191</v>
      </c>
      <c r="D41" s="105"/>
      <c r="E41" s="105"/>
      <c r="F41" s="105"/>
      <c r="G41" s="105"/>
      <c r="H41" s="105"/>
      <c r="I41" s="105"/>
    </row>
    <row r="42" spans="1:9" x14ac:dyDescent="0.3">
      <c r="A42" s="107" t="s">
        <v>204</v>
      </c>
      <c r="B42" s="107"/>
      <c r="C42" s="105" t="s">
        <v>192</v>
      </c>
      <c r="D42" s="105"/>
      <c r="E42" s="105"/>
      <c r="F42" s="105"/>
      <c r="G42" s="105"/>
      <c r="H42" s="105"/>
      <c r="I42" s="105"/>
    </row>
    <row r="43" spans="1:9" x14ac:dyDescent="0.3">
      <c r="A43" s="108" t="s">
        <v>109</v>
      </c>
      <c r="B43" s="108"/>
      <c r="C43" s="105" t="s">
        <v>193</v>
      </c>
      <c r="D43" s="105"/>
      <c r="E43" s="105"/>
      <c r="F43" s="105"/>
      <c r="G43" s="105"/>
      <c r="H43" s="105"/>
      <c r="I43" s="105"/>
    </row>
    <row r="44" spans="1:9" x14ac:dyDescent="0.3">
      <c r="A44" s="109" t="s">
        <v>107</v>
      </c>
      <c r="B44" s="109"/>
      <c r="C44" s="105" t="s">
        <v>194</v>
      </c>
      <c r="D44" s="105"/>
      <c r="E44" s="105"/>
      <c r="F44" s="105"/>
      <c r="G44" s="105"/>
      <c r="H44" s="105"/>
      <c r="I44" s="105"/>
    </row>
    <row r="45" spans="1:9" x14ac:dyDescent="0.3">
      <c r="A45" s="110" t="s">
        <v>139</v>
      </c>
      <c r="B45" s="110"/>
      <c r="C45" s="105" t="s">
        <v>195</v>
      </c>
      <c r="D45" s="105"/>
      <c r="E45" s="105"/>
      <c r="F45" s="105"/>
      <c r="G45" s="105"/>
      <c r="H45" s="105"/>
      <c r="I45" s="105"/>
    </row>
  </sheetData>
  <mergeCells count="29">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 ref="A42:B42"/>
    <mergeCell ref="C42:I42"/>
    <mergeCell ref="A43:B43"/>
    <mergeCell ref="C43:I43"/>
    <mergeCell ref="A44:B44"/>
    <mergeCell ref="C44:I44"/>
    <mergeCell ref="G3:I3"/>
    <mergeCell ref="G2:I2"/>
    <mergeCell ref="A40:I40"/>
    <mergeCell ref="A41:B41"/>
    <mergeCell ref="C41:I41"/>
    <mergeCell ref="B2:E2"/>
    <mergeCell ref="B3:E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5"/>
  <sheetViews>
    <sheetView topLeftCell="A8" zoomScale="70" zoomScaleNormal="70" workbookViewId="0">
      <selection activeCell="B14" sqref="B14"/>
    </sheetView>
  </sheetViews>
  <sheetFormatPr baseColWidth="10" defaultRowHeight="14.4" x14ac:dyDescent="0.3"/>
  <cols>
    <col min="2" max="2" width="56.6640625" customWidth="1"/>
    <col min="3" max="3" width="60.5546875" customWidth="1"/>
  </cols>
  <sheetData>
    <row r="1" spans="1:7" ht="17.399999999999999" x14ac:dyDescent="0.3">
      <c r="A1" s="98" t="s">
        <v>0</v>
      </c>
      <c r="B1" s="98"/>
      <c r="C1" s="98"/>
      <c r="D1" s="98"/>
      <c r="E1" s="98"/>
      <c r="F1" s="98"/>
      <c r="G1" s="98"/>
    </row>
    <row r="2" spans="1:7" ht="26.4" x14ac:dyDescent="0.3">
      <c r="A2" s="1" t="s">
        <v>1</v>
      </c>
      <c r="B2" s="1" t="s">
        <v>2</v>
      </c>
      <c r="C2" s="1" t="s">
        <v>3</v>
      </c>
      <c r="D2" s="1" t="s">
        <v>4</v>
      </c>
      <c r="E2" s="1" t="s">
        <v>5</v>
      </c>
      <c r="F2" s="1" t="s">
        <v>208</v>
      </c>
      <c r="G2" s="1" t="s">
        <v>6</v>
      </c>
    </row>
    <row r="3" spans="1:7" ht="66.599999999999994" customHeight="1" x14ac:dyDescent="0.3">
      <c r="A3" s="2" t="s">
        <v>7</v>
      </c>
      <c r="B3" s="3" t="s">
        <v>270</v>
      </c>
      <c r="C3" s="3" t="s">
        <v>280</v>
      </c>
      <c r="D3" s="2" t="s">
        <v>8</v>
      </c>
      <c r="E3" s="2" t="s">
        <v>9</v>
      </c>
      <c r="F3" s="43">
        <v>8</v>
      </c>
      <c r="G3" s="61" t="s">
        <v>238</v>
      </c>
    </row>
    <row r="4" spans="1:7" ht="63.6" customHeight="1" x14ac:dyDescent="0.3">
      <c r="A4" s="4" t="s">
        <v>11</v>
      </c>
      <c r="B4" s="5" t="s">
        <v>12</v>
      </c>
      <c r="C4" s="44" t="s">
        <v>281</v>
      </c>
      <c r="D4" s="4" t="s">
        <v>13</v>
      </c>
      <c r="E4" s="4" t="s">
        <v>9</v>
      </c>
      <c r="F4" s="43">
        <v>7</v>
      </c>
      <c r="G4" s="61" t="s">
        <v>238</v>
      </c>
    </row>
    <row r="5" spans="1:7" ht="79.8" customHeight="1" x14ac:dyDescent="0.3">
      <c r="A5" s="2" t="s">
        <v>14</v>
      </c>
      <c r="B5" s="3" t="s">
        <v>15</v>
      </c>
      <c r="C5" s="45" t="s">
        <v>209</v>
      </c>
      <c r="D5" s="2" t="s">
        <v>16</v>
      </c>
      <c r="E5" s="2" t="s">
        <v>9</v>
      </c>
      <c r="F5" s="43">
        <v>4</v>
      </c>
      <c r="G5" s="61" t="s">
        <v>42</v>
      </c>
    </row>
    <row r="6" spans="1:7" ht="72" customHeight="1" x14ac:dyDescent="0.3">
      <c r="A6" s="4" t="s">
        <v>17</v>
      </c>
      <c r="B6" s="5" t="s">
        <v>18</v>
      </c>
      <c r="C6" s="44" t="s">
        <v>282</v>
      </c>
      <c r="D6" s="4" t="s">
        <v>19</v>
      </c>
      <c r="E6" s="4" t="s">
        <v>9</v>
      </c>
      <c r="F6" s="43">
        <v>5</v>
      </c>
      <c r="G6" s="61" t="s">
        <v>42</v>
      </c>
    </row>
    <row r="7" spans="1:7" ht="62.4" customHeight="1" x14ac:dyDescent="0.3">
      <c r="A7" s="89" t="s">
        <v>20</v>
      </c>
      <c r="B7" s="5" t="s">
        <v>23</v>
      </c>
      <c r="C7" s="44" t="s">
        <v>283</v>
      </c>
      <c r="D7" s="4" t="s">
        <v>24</v>
      </c>
      <c r="E7" s="4" t="s">
        <v>9</v>
      </c>
      <c r="F7" s="43">
        <v>2</v>
      </c>
      <c r="G7" s="61" t="s">
        <v>42</v>
      </c>
    </row>
    <row r="8" spans="1:7" ht="72" customHeight="1" x14ac:dyDescent="0.3">
      <c r="A8" s="157" t="s">
        <v>22</v>
      </c>
      <c r="B8" s="3" t="s">
        <v>26</v>
      </c>
      <c r="C8" s="45" t="s">
        <v>284</v>
      </c>
      <c r="D8" s="2" t="s">
        <v>27</v>
      </c>
      <c r="E8" s="2" t="s">
        <v>9</v>
      </c>
      <c r="F8" s="43">
        <v>5</v>
      </c>
      <c r="G8" s="62" t="s">
        <v>55</v>
      </c>
    </row>
    <row r="9" spans="1:7" ht="59.4" customHeight="1" x14ac:dyDescent="0.3">
      <c r="A9" s="89" t="s">
        <v>25</v>
      </c>
      <c r="B9" s="5" t="s">
        <v>30</v>
      </c>
      <c r="C9" s="96" t="s">
        <v>285</v>
      </c>
      <c r="D9" s="4" t="s">
        <v>31</v>
      </c>
      <c r="E9" s="4" t="s">
        <v>9</v>
      </c>
      <c r="F9" s="43">
        <v>3</v>
      </c>
      <c r="G9" s="62" t="s">
        <v>55</v>
      </c>
    </row>
    <row r="10" spans="1:7" ht="139.80000000000001" customHeight="1" x14ac:dyDescent="0.3">
      <c r="A10" s="157" t="s">
        <v>29</v>
      </c>
      <c r="B10" s="3" t="s">
        <v>354</v>
      </c>
      <c r="C10" s="95" t="s">
        <v>355</v>
      </c>
      <c r="D10" s="2" t="s">
        <v>33</v>
      </c>
      <c r="E10" s="2" t="s">
        <v>34</v>
      </c>
      <c r="F10" s="43">
        <v>5</v>
      </c>
      <c r="G10" s="97" t="s">
        <v>28</v>
      </c>
    </row>
    <row r="11" spans="1:7" ht="68.400000000000006" customHeight="1" x14ac:dyDescent="0.3">
      <c r="A11" s="89" t="s">
        <v>32</v>
      </c>
      <c r="B11" s="5" t="s">
        <v>36</v>
      </c>
      <c r="C11" s="44" t="s">
        <v>210</v>
      </c>
      <c r="D11" s="4" t="s">
        <v>37</v>
      </c>
      <c r="E11" s="4" t="s">
        <v>9</v>
      </c>
      <c r="F11" s="43">
        <v>3</v>
      </c>
      <c r="G11" s="61" t="s">
        <v>42</v>
      </c>
    </row>
    <row r="12" spans="1:7" ht="79.8" customHeight="1" x14ac:dyDescent="0.3">
      <c r="A12" s="157" t="s">
        <v>35</v>
      </c>
      <c r="B12" s="3" t="s">
        <v>39</v>
      </c>
      <c r="C12" s="45" t="s">
        <v>286</v>
      </c>
      <c r="D12" s="2" t="s">
        <v>143</v>
      </c>
      <c r="E12" s="2" t="s">
        <v>34</v>
      </c>
      <c r="F12" s="43">
        <v>4</v>
      </c>
      <c r="G12" s="62" t="s">
        <v>238</v>
      </c>
    </row>
    <row r="13" spans="1:7" ht="74.400000000000006" customHeight="1" x14ac:dyDescent="0.3">
      <c r="A13" s="89" t="s">
        <v>38</v>
      </c>
      <c r="B13" s="5" t="s">
        <v>41</v>
      </c>
      <c r="C13" s="44" t="s">
        <v>211</v>
      </c>
      <c r="D13" s="4" t="s">
        <v>155</v>
      </c>
      <c r="E13" s="4" t="s">
        <v>34</v>
      </c>
      <c r="F13" s="43">
        <v>2</v>
      </c>
      <c r="G13" s="62" t="s">
        <v>28</v>
      </c>
    </row>
    <row r="14" spans="1:7" ht="109.2" customHeight="1" x14ac:dyDescent="0.3">
      <c r="A14" s="79" t="s">
        <v>40</v>
      </c>
      <c r="B14" s="78" t="s">
        <v>287</v>
      </c>
      <c r="C14" s="78" t="s">
        <v>362</v>
      </c>
      <c r="D14" s="80" t="s">
        <v>8</v>
      </c>
      <c r="E14" s="81" t="s">
        <v>34</v>
      </c>
      <c r="F14" s="83">
        <v>4</v>
      </c>
      <c r="G14" s="82" t="s">
        <v>28</v>
      </c>
    </row>
    <row r="15" spans="1:7" ht="24" customHeight="1" x14ac:dyDescent="0.3">
      <c r="A15" s="99" t="s">
        <v>43</v>
      </c>
      <c r="B15" s="146"/>
      <c r="C15" s="146"/>
      <c r="D15" s="146"/>
      <c r="E15" s="146"/>
      <c r="F15" s="147">
        <f>SUM(F3:F14)</f>
        <v>52</v>
      </c>
      <c r="G15" s="147"/>
    </row>
  </sheetData>
  <mergeCells count="2">
    <mergeCell ref="A1:G1"/>
    <mergeCell ref="A15:E1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20"/>
  <sheetViews>
    <sheetView topLeftCell="A11" zoomScale="85" zoomScaleNormal="85" workbookViewId="0">
      <selection activeCell="A20" sqref="A20:E20"/>
    </sheetView>
  </sheetViews>
  <sheetFormatPr baseColWidth="10" defaultRowHeight="14.4" x14ac:dyDescent="0.3"/>
  <cols>
    <col min="2" max="2" width="56.5546875" customWidth="1"/>
    <col min="3" max="3" width="55.77734375" customWidth="1"/>
  </cols>
  <sheetData>
    <row r="1" spans="1:8" ht="17.399999999999999" customHeight="1" x14ac:dyDescent="0.3">
      <c r="A1" s="119" t="s">
        <v>44</v>
      </c>
      <c r="B1" s="119"/>
      <c r="C1" s="119"/>
      <c r="D1" s="119"/>
      <c r="E1" s="119"/>
      <c r="F1" s="119"/>
      <c r="G1" s="119"/>
      <c r="H1" s="119"/>
    </row>
    <row r="2" spans="1:8" ht="26.4" x14ac:dyDescent="0.3">
      <c r="A2" s="1" t="s">
        <v>1</v>
      </c>
      <c r="B2" s="1" t="s">
        <v>45</v>
      </c>
      <c r="C2" s="1" t="s">
        <v>46</v>
      </c>
      <c r="D2" s="1" t="s">
        <v>4</v>
      </c>
      <c r="E2" s="1" t="s">
        <v>5</v>
      </c>
      <c r="F2" s="58" t="s">
        <v>208</v>
      </c>
      <c r="G2" s="1" t="s">
        <v>6</v>
      </c>
      <c r="H2" s="58" t="s">
        <v>250</v>
      </c>
    </row>
    <row r="3" spans="1:8" ht="90.6" customHeight="1" x14ac:dyDescent="0.3">
      <c r="A3" s="88" t="s">
        <v>47</v>
      </c>
      <c r="B3" s="59" t="s">
        <v>212</v>
      </c>
      <c r="C3" s="59" t="s">
        <v>294</v>
      </c>
      <c r="D3" s="46" t="s">
        <v>48</v>
      </c>
      <c r="E3" s="48" t="s">
        <v>9</v>
      </c>
      <c r="F3" s="63">
        <v>4</v>
      </c>
      <c r="G3" s="64" t="s">
        <v>235</v>
      </c>
      <c r="H3" s="49" t="s">
        <v>97</v>
      </c>
    </row>
    <row r="4" spans="1:8" ht="90" customHeight="1" x14ac:dyDescent="0.3">
      <c r="A4" s="88" t="s">
        <v>49</v>
      </c>
      <c r="B4" s="60" t="s">
        <v>213</v>
      </c>
      <c r="C4" s="60" t="s">
        <v>295</v>
      </c>
      <c r="D4" s="47" t="s">
        <v>228</v>
      </c>
      <c r="E4" s="89" t="s">
        <v>9</v>
      </c>
      <c r="F4" s="63">
        <v>6</v>
      </c>
      <c r="G4" s="65" t="s">
        <v>235</v>
      </c>
      <c r="H4" s="50" t="s">
        <v>241</v>
      </c>
    </row>
    <row r="5" spans="1:8" ht="78" customHeight="1" x14ac:dyDescent="0.3">
      <c r="A5" s="88" t="s">
        <v>52</v>
      </c>
      <c r="B5" s="59" t="s">
        <v>214</v>
      </c>
      <c r="C5" s="59" t="s">
        <v>296</v>
      </c>
      <c r="D5" s="46" t="s">
        <v>50</v>
      </c>
      <c r="E5" s="48" t="s">
        <v>9</v>
      </c>
      <c r="F5" s="63">
        <v>5</v>
      </c>
      <c r="G5" s="66" t="s">
        <v>51</v>
      </c>
      <c r="H5" s="51" t="s">
        <v>242</v>
      </c>
    </row>
    <row r="6" spans="1:8" ht="67.2" customHeight="1" x14ac:dyDescent="0.3">
      <c r="A6" s="88" t="s">
        <v>54</v>
      </c>
      <c r="B6" s="60" t="s">
        <v>215</v>
      </c>
      <c r="C6" s="60" t="s">
        <v>297</v>
      </c>
      <c r="D6" s="47" t="s">
        <v>229</v>
      </c>
      <c r="E6" s="89" t="s">
        <v>9</v>
      </c>
      <c r="F6" s="63">
        <v>5</v>
      </c>
      <c r="G6" s="66" t="s">
        <v>51</v>
      </c>
      <c r="H6" s="51" t="s">
        <v>242</v>
      </c>
    </row>
    <row r="7" spans="1:8" ht="101.4" customHeight="1" x14ac:dyDescent="0.3">
      <c r="A7" s="88" t="s">
        <v>56</v>
      </c>
      <c r="B7" s="59" t="s">
        <v>216</v>
      </c>
      <c r="C7" s="59" t="s">
        <v>298</v>
      </c>
      <c r="D7" s="46" t="s">
        <v>61</v>
      </c>
      <c r="E7" s="48" t="s">
        <v>9</v>
      </c>
      <c r="F7" s="63">
        <v>11</v>
      </c>
      <c r="G7" s="67" t="s">
        <v>237</v>
      </c>
      <c r="H7" s="52" t="s">
        <v>243</v>
      </c>
    </row>
    <row r="8" spans="1:8" ht="67.8" customHeight="1" x14ac:dyDescent="0.3">
      <c r="A8" s="88" t="s">
        <v>57</v>
      </c>
      <c r="B8" s="60" t="s">
        <v>217</v>
      </c>
      <c r="C8" s="60" t="s">
        <v>299</v>
      </c>
      <c r="D8" s="47" t="s">
        <v>300</v>
      </c>
      <c r="E8" s="89" t="s">
        <v>9</v>
      </c>
      <c r="F8" s="63">
        <v>11</v>
      </c>
      <c r="G8" s="68" t="s">
        <v>238</v>
      </c>
      <c r="H8" s="53" t="s">
        <v>244</v>
      </c>
    </row>
    <row r="9" spans="1:8" ht="88.8" customHeight="1" x14ac:dyDescent="0.3">
      <c r="A9" s="88" t="s">
        <v>58</v>
      </c>
      <c r="B9" s="59" t="s">
        <v>218</v>
      </c>
      <c r="C9" s="59" t="s">
        <v>301</v>
      </c>
      <c r="D9" s="46" t="s">
        <v>230</v>
      </c>
      <c r="E9" s="48" t="s">
        <v>9</v>
      </c>
      <c r="F9" s="63">
        <v>4</v>
      </c>
      <c r="G9" s="69" t="s">
        <v>28</v>
      </c>
      <c r="H9" s="54" t="s">
        <v>245</v>
      </c>
    </row>
    <row r="10" spans="1:8" ht="79.2" customHeight="1" x14ac:dyDescent="0.3">
      <c r="A10" s="88" t="s">
        <v>60</v>
      </c>
      <c r="B10" s="60" t="s">
        <v>302</v>
      </c>
      <c r="C10" s="60" t="s">
        <v>303</v>
      </c>
      <c r="D10" s="47" t="s">
        <v>231</v>
      </c>
      <c r="E10" s="89" t="s">
        <v>9</v>
      </c>
      <c r="F10" s="63">
        <v>6</v>
      </c>
      <c r="G10" s="70" t="s">
        <v>55</v>
      </c>
      <c r="H10" s="55" t="s">
        <v>246</v>
      </c>
    </row>
    <row r="11" spans="1:8" ht="66" customHeight="1" x14ac:dyDescent="0.3">
      <c r="A11" s="88" t="s">
        <v>62</v>
      </c>
      <c r="B11" s="59" t="s">
        <v>219</v>
      </c>
      <c r="C11" s="59" t="s">
        <v>304</v>
      </c>
      <c r="D11" s="46" t="s">
        <v>232</v>
      </c>
      <c r="E11" s="48" t="s">
        <v>9</v>
      </c>
      <c r="F11" s="63">
        <v>5</v>
      </c>
      <c r="G11" s="70" t="s">
        <v>55</v>
      </c>
      <c r="H11" s="55" t="s">
        <v>246</v>
      </c>
    </row>
    <row r="12" spans="1:8" ht="99.6" customHeight="1" x14ac:dyDescent="0.3">
      <c r="A12" s="88" t="s">
        <v>63</v>
      </c>
      <c r="B12" s="60" t="s">
        <v>351</v>
      </c>
      <c r="C12" s="60" t="s">
        <v>352</v>
      </c>
      <c r="D12" s="47" t="s">
        <v>59</v>
      </c>
      <c r="E12" s="48" t="s">
        <v>9</v>
      </c>
      <c r="F12" s="63">
        <v>5</v>
      </c>
      <c r="G12" s="71" t="s">
        <v>10</v>
      </c>
      <c r="H12" s="56" t="s">
        <v>247</v>
      </c>
    </row>
    <row r="13" spans="1:8" ht="83.4" customHeight="1" x14ac:dyDescent="0.3">
      <c r="A13" s="88" t="s">
        <v>65</v>
      </c>
      <c r="B13" s="59" t="s">
        <v>305</v>
      </c>
      <c r="C13" s="59" t="s">
        <v>306</v>
      </c>
      <c r="D13" s="46" t="s">
        <v>233</v>
      </c>
      <c r="E13" s="48" t="s">
        <v>9</v>
      </c>
      <c r="F13" s="63">
        <v>5</v>
      </c>
      <c r="G13" s="71" t="s">
        <v>239</v>
      </c>
      <c r="H13" s="56" t="s">
        <v>247</v>
      </c>
    </row>
    <row r="14" spans="1:8" ht="70.8" customHeight="1" x14ac:dyDescent="0.3">
      <c r="A14" s="88" t="s">
        <v>220</v>
      </c>
      <c r="B14" s="60" t="s">
        <v>221</v>
      </c>
      <c r="C14" s="60" t="s">
        <v>307</v>
      </c>
      <c r="D14" s="47" t="s">
        <v>234</v>
      </c>
      <c r="E14" s="89" t="s">
        <v>9</v>
      </c>
      <c r="F14" s="63">
        <v>4</v>
      </c>
      <c r="G14" s="72" t="s">
        <v>279</v>
      </c>
      <c r="H14" s="57" t="s">
        <v>248</v>
      </c>
    </row>
    <row r="15" spans="1:8" ht="67.2" customHeight="1" x14ac:dyDescent="0.3">
      <c r="A15" s="88" t="s">
        <v>222</v>
      </c>
      <c r="B15" s="59" t="s">
        <v>223</v>
      </c>
      <c r="C15" s="59" t="s">
        <v>308</v>
      </c>
      <c r="D15" s="46" t="s">
        <v>147</v>
      </c>
      <c r="E15" s="48" t="s">
        <v>9</v>
      </c>
      <c r="F15" s="63">
        <v>2</v>
      </c>
      <c r="G15" s="72" t="s">
        <v>279</v>
      </c>
      <c r="H15" s="87">
        <v>46189</v>
      </c>
    </row>
    <row r="16" spans="1:8" ht="81.599999999999994" customHeight="1" x14ac:dyDescent="0.3">
      <c r="A16" s="88" t="s">
        <v>224</v>
      </c>
      <c r="B16" s="60" t="s">
        <v>225</v>
      </c>
      <c r="C16" s="60" t="s">
        <v>309</v>
      </c>
      <c r="D16" s="47" t="s">
        <v>66</v>
      </c>
      <c r="E16" s="89" t="s">
        <v>34</v>
      </c>
      <c r="F16" s="63">
        <v>3</v>
      </c>
      <c r="G16" s="68" t="s">
        <v>279</v>
      </c>
      <c r="H16" s="53" t="s">
        <v>249</v>
      </c>
    </row>
    <row r="17" spans="1:8" ht="72" customHeight="1" x14ac:dyDescent="0.3">
      <c r="A17" s="88" t="s">
        <v>226</v>
      </c>
      <c r="B17" s="59" t="s">
        <v>227</v>
      </c>
      <c r="C17" s="59" t="s">
        <v>310</v>
      </c>
      <c r="D17" s="46" t="s">
        <v>50</v>
      </c>
      <c r="E17" s="48" t="s">
        <v>34</v>
      </c>
      <c r="F17" s="63">
        <v>2</v>
      </c>
      <c r="G17" s="68" t="s">
        <v>279</v>
      </c>
      <c r="H17" s="53" t="s">
        <v>249</v>
      </c>
    </row>
    <row r="18" spans="1:8" ht="131.4" customHeight="1" x14ac:dyDescent="0.3">
      <c r="A18" s="86" t="s">
        <v>288</v>
      </c>
      <c r="B18" s="84" t="s">
        <v>290</v>
      </c>
      <c r="C18" s="84" t="s">
        <v>291</v>
      </c>
      <c r="D18" s="84" t="s">
        <v>292</v>
      </c>
      <c r="E18" s="74" t="s">
        <v>9</v>
      </c>
      <c r="F18" s="90">
        <v>5</v>
      </c>
      <c r="G18" s="85" t="s">
        <v>42</v>
      </c>
      <c r="H18" s="85" t="s">
        <v>245</v>
      </c>
    </row>
    <row r="19" spans="1:8" ht="115.8" customHeight="1" x14ac:dyDescent="0.3">
      <c r="A19" s="86" t="s">
        <v>289</v>
      </c>
      <c r="B19" s="84" t="s">
        <v>358</v>
      </c>
      <c r="C19" s="84" t="s">
        <v>360</v>
      </c>
      <c r="D19" s="84" t="s">
        <v>293</v>
      </c>
      <c r="E19" s="74" t="s">
        <v>9</v>
      </c>
      <c r="F19" s="90">
        <v>5</v>
      </c>
      <c r="G19" s="85" t="s">
        <v>42</v>
      </c>
      <c r="H19" s="85" t="s">
        <v>245</v>
      </c>
    </row>
    <row r="20" spans="1:8" ht="24.6" customHeight="1" x14ac:dyDescent="0.3">
      <c r="A20" s="99" t="s">
        <v>67</v>
      </c>
      <c r="B20" s="99"/>
      <c r="C20" s="99"/>
      <c r="D20" s="99"/>
      <c r="E20" s="99"/>
      <c r="F20" s="6">
        <f>SUM(F3:F19)</f>
        <v>88</v>
      </c>
      <c r="G20" s="120"/>
      <c r="H20" s="121"/>
    </row>
  </sheetData>
  <mergeCells count="3">
    <mergeCell ref="A20:E20"/>
    <mergeCell ref="A1:H1"/>
    <mergeCell ref="G20:H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49"/>
  <sheetViews>
    <sheetView tabSelected="1" topLeftCell="A12" zoomScale="70" zoomScaleNormal="70" workbookViewId="0">
      <selection activeCell="F10" sqref="F10"/>
    </sheetView>
  </sheetViews>
  <sheetFormatPr baseColWidth="10" defaultRowHeight="14.4" x14ac:dyDescent="0.3"/>
  <cols>
    <col min="2" max="2" width="36.109375" customWidth="1"/>
    <col min="3" max="3" width="10.33203125" customWidth="1"/>
    <col min="4" max="4" width="11.33203125" customWidth="1"/>
    <col min="5" max="5" width="52.21875" customWidth="1"/>
    <col min="6" max="6" width="50.44140625" customWidth="1"/>
    <col min="10" max="10" width="54.21875" customWidth="1"/>
  </cols>
  <sheetData>
    <row r="1" spans="1:10" ht="17.399999999999999" customHeight="1" x14ac:dyDescent="0.3">
      <c r="A1" s="119" t="s">
        <v>72</v>
      </c>
      <c r="B1" s="119"/>
      <c r="C1" s="119"/>
      <c r="D1" s="119"/>
      <c r="E1" s="119"/>
      <c r="F1" s="119"/>
      <c r="G1" s="119"/>
      <c r="H1" s="119"/>
      <c r="I1" s="119"/>
      <c r="J1" s="119"/>
    </row>
    <row r="2" spans="1:10" x14ac:dyDescent="0.3">
      <c r="A2" s="75" t="s">
        <v>6</v>
      </c>
      <c r="B2" s="75" t="s">
        <v>68</v>
      </c>
      <c r="C2" s="75" t="s">
        <v>69</v>
      </c>
      <c r="D2" s="75" t="s">
        <v>1</v>
      </c>
      <c r="E2" s="75" t="s">
        <v>251</v>
      </c>
      <c r="F2" s="75" t="s">
        <v>5</v>
      </c>
      <c r="G2" s="75" t="s">
        <v>240</v>
      </c>
      <c r="H2" s="75" t="s">
        <v>252</v>
      </c>
      <c r="I2" s="75" t="s">
        <v>253</v>
      </c>
      <c r="J2" s="75" t="s">
        <v>263</v>
      </c>
    </row>
    <row r="3" spans="1:10" ht="62.4" customHeight="1" x14ac:dyDescent="0.3">
      <c r="A3" s="140" t="s">
        <v>235</v>
      </c>
      <c r="B3" s="142" t="s">
        <v>264</v>
      </c>
      <c r="C3" s="94" t="s">
        <v>70</v>
      </c>
      <c r="D3" s="94" t="s">
        <v>47</v>
      </c>
      <c r="E3" s="76" t="s">
        <v>212</v>
      </c>
      <c r="F3" s="77" t="s">
        <v>9</v>
      </c>
      <c r="G3" s="140" t="s">
        <v>97</v>
      </c>
      <c r="H3" s="140" t="s">
        <v>254</v>
      </c>
      <c r="I3" s="77">
        <v>4</v>
      </c>
      <c r="J3" s="76" t="s">
        <v>262</v>
      </c>
    </row>
    <row r="4" spans="1:10" ht="53.4" customHeight="1" x14ac:dyDescent="0.3">
      <c r="A4" s="141"/>
      <c r="B4" s="143"/>
      <c r="C4" s="94" t="s">
        <v>70</v>
      </c>
      <c r="D4" s="94" t="s">
        <v>49</v>
      </c>
      <c r="E4" s="76" t="s">
        <v>213</v>
      </c>
      <c r="F4" s="77" t="s">
        <v>9</v>
      </c>
      <c r="G4" s="141"/>
      <c r="H4" s="141"/>
      <c r="I4" s="77">
        <v>6</v>
      </c>
      <c r="J4" s="76" t="s">
        <v>266</v>
      </c>
    </row>
    <row r="5" spans="1:10" ht="63" customHeight="1" x14ac:dyDescent="0.3">
      <c r="A5" s="140" t="s">
        <v>51</v>
      </c>
      <c r="B5" s="142" t="s">
        <v>265</v>
      </c>
      <c r="C5" s="94" t="s">
        <v>70</v>
      </c>
      <c r="D5" s="94" t="s">
        <v>52</v>
      </c>
      <c r="E5" s="76" t="s">
        <v>214</v>
      </c>
      <c r="F5" s="77" t="s">
        <v>9</v>
      </c>
      <c r="G5" s="140" t="s">
        <v>241</v>
      </c>
      <c r="H5" s="140" t="s">
        <v>255</v>
      </c>
      <c r="I5" s="77">
        <v>5</v>
      </c>
      <c r="J5" s="76" t="s">
        <v>267</v>
      </c>
    </row>
    <row r="6" spans="1:10" ht="61.8" customHeight="1" x14ac:dyDescent="0.3">
      <c r="A6" s="141"/>
      <c r="B6" s="143"/>
      <c r="C6" s="94" t="s">
        <v>70</v>
      </c>
      <c r="D6" s="94" t="s">
        <v>54</v>
      </c>
      <c r="E6" s="76" t="s">
        <v>215</v>
      </c>
      <c r="F6" s="77" t="s">
        <v>9</v>
      </c>
      <c r="G6" s="141"/>
      <c r="H6" s="141"/>
      <c r="I6" s="77">
        <v>5</v>
      </c>
      <c r="J6" s="76" t="s">
        <v>268</v>
      </c>
    </row>
    <row r="7" spans="1:10" ht="64.8" customHeight="1" x14ac:dyDescent="0.3">
      <c r="A7" s="140" t="s">
        <v>55</v>
      </c>
      <c r="B7" s="142" t="s">
        <v>272</v>
      </c>
      <c r="C7" s="94" t="s">
        <v>70</v>
      </c>
      <c r="D7" s="94" t="s">
        <v>60</v>
      </c>
      <c r="E7" s="76" t="s">
        <v>311</v>
      </c>
      <c r="F7" s="77" t="s">
        <v>9</v>
      </c>
      <c r="G7" s="140" t="s">
        <v>242</v>
      </c>
      <c r="H7" s="140" t="s">
        <v>256</v>
      </c>
      <c r="I7" s="77">
        <v>6</v>
      </c>
      <c r="J7" s="76" t="s">
        <v>312</v>
      </c>
    </row>
    <row r="8" spans="1:10" ht="79.2" customHeight="1" x14ac:dyDescent="0.3">
      <c r="A8" s="141"/>
      <c r="B8" s="143"/>
      <c r="C8" s="94" t="s">
        <v>70</v>
      </c>
      <c r="D8" s="94" t="s">
        <v>62</v>
      </c>
      <c r="E8" s="76" t="s">
        <v>219</v>
      </c>
      <c r="F8" s="77" t="s">
        <v>9</v>
      </c>
      <c r="G8" s="141"/>
      <c r="H8" s="141"/>
      <c r="I8" s="77">
        <v>5</v>
      </c>
      <c r="J8" s="76" t="s">
        <v>313</v>
      </c>
    </row>
    <row r="9" spans="1:10" ht="54.6" customHeight="1" x14ac:dyDescent="0.3">
      <c r="A9" s="140" t="s">
        <v>10</v>
      </c>
      <c r="B9" s="142" t="s">
        <v>314</v>
      </c>
      <c r="C9" s="94" t="s">
        <v>71</v>
      </c>
      <c r="D9" s="94" t="s">
        <v>25</v>
      </c>
      <c r="E9" s="76" t="s">
        <v>315</v>
      </c>
      <c r="F9" s="77" t="s">
        <v>9</v>
      </c>
      <c r="G9" s="140" t="s">
        <v>243</v>
      </c>
      <c r="H9" s="140" t="s">
        <v>257</v>
      </c>
      <c r="I9" s="77">
        <v>3</v>
      </c>
      <c r="J9" s="76" t="s">
        <v>269</v>
      </c>
    </row>
    <row r="10" spans="1:10" ht="58.8" customHeight="1" x14ac:dyDescent="0.3">
      <c r="A10" s="167"/>
      <c r="B10" s="168"/>
      <c r="C10" s="94" t="s">
        <v>71</v>
      </c>
      <c r="D10" s="94" t="s">
        <v>22</v>
      </c>
      <c r="E10" s="76" t="s">
        <v>316</v>
      </c>
      <c r="F10" s="77" t="s">
        <v>9</v>
      </c>
      <c r="G10" s="167"/>
      <c r="H10" s="167"/>
      <c r="I10" s="77">
        <v>5</v>
      </c>
      <c r="J10" s="76" t="s">
        <v>317</v>
      </c>
    </row>
    <row r="11" spans="1:10" ht="78.599999999999994" customHeight="1" x14ac:dyDescent="0.3">
      <c r="A11" s="141"/>
      <c r="B11" s="143"/>
      <c r="C11" s="94" t="s">
        <v>70</v>
      </c>
      <c r="D11" s="94" t="s">
        <v>63</v>
      </c>
      <c r="E11" s="76" t="s">
        <v>351</v>
      </c>
      <c r="F11" s="77" t="s">
        <v>9</v>
      </c>
      <c r="G11" s="141"/>
      <c r="H11" s="141"/>
      <c r="I11" s="77">
        <v>5</v>
      </c>
      <c r="J11" s="76" t="s">
        <v>353</v>
      </c>
    </row>
    <row r="12" spans="1:10" ht="72.599999999999994" customHeight="1" x14ac:dyDescent="0.3">
      <c r="A12" s="140" t="s">
        <v>28</v>
      </c>
      <c r="B12" s="142" t="s">
        <v>356</v>
      </c>
      <c r="C12" s="94" t="s">
        <v>70</v>
      </c>
      <c r="D12" s="94" t="s">
        <v>288</v>
      </c>
      <c r="E12" s="76" t="s">
        <v>290</v>
      </c>
      <c r="F12" s="77" t="s">
        <v>9</v>
      </c>
      <c r="G12" s="140" t="s">
        <v>244</v>
      </c>
      <c r="H12" s="140" t="s">
        <v>258</v>
      </c>
      <c r="I12" s="77">
        <v>5</v>
      </c>
      <c r="J12" s="76" t="s">
        <v>319</v>
      </c>
    </row>
    <row r="13" spans="1:10" ht="99.6" customHeight="1" x14ac:dyDescent="0.3">
      <c r="A13" s="167"/>
      <c r="B13" s="168"/>
      <c r="C13" s="94" t="s">
        <v>71</v>
      </c>
      <c r="D13" s="94" t="s">
        <v>29</v>
      </c>
      <c r="E13" s="76" t="s">
        <v>354</v>
      </c>
      <c r="F13" s="77" t="s">
        <v>34</v>
      </c>
      <c r="G13" s="167"/>
      <c r="H13" s="167"/>
      <c r="I13" s="77">
        <v>3</v>
      </c>
      <c r="J13" s="76" t="s">
        <v>357</v>
      </c>
    </row>
    <row r="14" spans="1:10" ht="81" customHeight="1" x14ac:dyDescent="0.3">
      <c r="A14" s="141"/>
      <c r="B14" s="143"/>
      <c r="C14" s="94" t="s">
        <v>70</v>
      </c>
      <c r="D14" s="94" t="s">
        <v>58</v>
      </c>
      <c r="E14" s="76" t="s">
        <v>218</v>
      </c>
      <c r="F14" s="77" t="s">
        <v>9</v>
      </c>
      <c r="G14" s="141"/>
      <c r="H14" s="141"/>
      <c r="I14" s="77">
        <v>4</v>
      </c>
      <c r="J14" s="76" t="s">
        <v>318</v>
      </c>
    </row>
    <row r="15" spans="1:10" ht="90" customHeight="1" x14ac:dyDescent="0.3">
      <c r="A15" s="125" t="s">
        <v>42</v>
      </c>
      <c r="B15" s="132" t="s">
        <v>350</v>
      </c>
      <c r="C15" s="92" t="s">
        <v>70</v>
      </c>
      <c r="D15" s="92" t="s">
        <v>289</v>
      </c>
      <c r="E15" s="78" t="s">
        <v>320</v>
      </c>
      <c r="F15" s="79" t="s">
        <v>9</v>
      </c>
      <c r="G15" s="125" t="s">
        <v>245</v>
      </c>
      <c r="H15" s="125" t="s">
        <v>259</v>
      </c>
      <c r="I15" s="79">
        <v>6</v>
      </c>
      <c r="J15" s="78" t="s">
        <v>359</v>
      </c>
    </row>
    <row r="16" spans="1:10" ht="65.400000000000006" customHeight="1" x14ac:dyDescent="0.3">
      <c r="A16" s="138"/>
      <c r="B16" s="139"/>
      <c r="C16" s="92" t="s">
        <v>71</v>
      </c>
      <c r="D16" s="92" t="s">
        <v>38</v>
      </c>
      <c r="E16" s="78" t="s">
        <v>321</v>
      </c>
      <c r="F16" s="79" t="s">
        <v>34</v>
      </c>
      <c r="G16" s="138"/>
      <c r="H16" s="138"/>
      <c r="I16" s="79">
        <v>2</v>
      </c>
      <c r="J16" s="78" t="s">
        <v>322</v>
      </c>
    </row>
    <row r="17" spans="1:10" ht="70.8" customHeight="1" x14ac:dyDescent="0.3">
      <c r="A17" s="126"/>
      <c r="B17" s="133"/>
      <c r="C17" s="92" t="s">
        <v>71</v>
      </c>
      <c r="D17" s="92" t="s">
        <v>40</v>
      </c>
      <c r="E17" s="78" t="s">
        <v>323</v>
      </c>
      <c r="F17" s="79" t="s">
        <v>34</v>
      </c>
      <c r="G17" s="126"/>
      <c r="H17" s="126"/>
      <c r="I17" s="79">
        <v>4</v>
      </c>
      <c r="J17" s="78" t="s">
        <v>361</v>
      </c>
    </row>
    <row r="18" spans="1:10" ht="60.6" customHeight="1" x14ac:dyDescent="0.3">
      <c r="A18" s="158" t="s">
        <v>64</v>
      </c>
      <c r="B18" s="161" t="s">
        <v>324</v>
      </c>
      <c r="C18" s="86" t="s">
        <v>71</v>
      </c>
      <c r="D18" s="86" t="s">
        <v>14</v>
      </c>
      <c r="E18" s="91" t="s">
        <v>325</v>
      </c>
      <c r="F18" s="93" t="s">
        <v>9</v>
      </c>
      <c r="G18" s="164">
        <v>46161</v>
      </c>
      <c r="H18" s="158" t="s">
        <v>260</v>
      </c>
      <c r="I18" s="93">
        <v>4</v>
      </c>
      <c r="J18" s="91" t="s">
        <v>326</v>
      </c>
    </row>
    <row r="19" spans="1:10" ht="57" customHeight="1" x14ac:dyDescent="0.3">
      <c r="A19" s="159"/>
      <c r="B19" s="162"/>
      <c r="C19" s="86" t="s">
        <v>71</v>
      </c>
      <c r="D19" s="86" t="s">
        <v>17</v>
      </c>
      <c r="E19" s="91" t="s">
        <v>327</v>
      </c>
      <c r="F19" s="93" t="s">
        <v>9</v>
      </c>
      <c r="G19" s="165"/>
      <c r="H19" s="159"/>
      <c r="I19" s="93">
        <v>5</v>
      </c>
      <c r="J19" s="91" t="s">
        <v>328</v>
      </c>
    </row>
    <row r="20" spans="1:10" ht="55.8" customHeight="1" x14ac:dyDescent="0.3">
      <c r="A20" s="159"/>
      <c r="B20" s="162"/>
      <c r="C20" s="86" t="s">
        <v>71</v>
      </c>
      <c r="D20" s="86" t="s">
        <v>20</v>
      </c>
      <c r="E20" s="91" t="s">
        <v>329</v>
      </c>
      <c r="F20" s="93" t="s">
        <v>9</v>
      </c>
      <c r="G20" s="165"/>
      <c r="H20" s="159"/>
      <c r="I20" s="93">
        <v>2</v>
      </c>
      <c r="J20" s="91" t="s">
        <v>330</v>
      </c>
    </row>
    <row r="21" spans="1:10" ht="91.8" customHeight="1" x14ac:dyDescent="0.3">
      <c r="A21" s="160"/>
      <c r="B21" s="163"/>
      <c r="C21" s="86" t="s">
        <v>71</v>
      </c>
      <c r="D21" s="86" t="s">
        <v>35</v>
      </c>
      <c r="E21" s="91" t="s">
        <v>331</v>
      </c>
      <c r="F21" s="93" t="s">
        <v>9</v>
      </c>
      <c r="G21" s="166"/>
      <c r="H21" s="160"/>
      <c r="I21" s="93">
        <v>3</v>
      </c>
      <c r="J21" s="91" t="s">
        <v>271</v>
      </c>
    </row>
    <row r="22" spans="1:10" ht="93.6" customHeight="1" x14ac:dyDescent="0.3">
      <c r="A22" s="92" t="s">
        <v>236</v>
      </c>
      <c r="B22" s="78" t="s">
        <v>332</v>
      </c>
      <c r="C22" s="92" t="s">
        <v>70</v>
      </c>
      <c r="D22" s="92" t="s">
        <v>56</v>
      </c>
      <c r="E22" s="78" t="s">
        <v>216</v>
      </c>
      <c r="F22" s="79" t="s">
        <v>9</v>
      </c>
      <c r="G22" s="144">
        <v>46175</v>
      </c>
      <c r="H22" s="144">
        <v>46174</v>
      </c>
      <c r="I22" s="79">
        <v>11</v>
      </c>
      <c r="J22" s="78" t="s">
        <v>333</v>
      </c>
    </row>
    <row r="23" spans="1:10" ht="93.6" customHeight="1" x14ac:dyDescent="0.3">
      <c r="A23" s="86" t="s">
        <v>237</v>
      </c>
      <c r="B23" s="91" t="s">
        <v>334</v>
      </c>
      <c r="C23" s="86" t="s">
        <v>70</v>
      </c>
      <c r="D23" s="86" t="s">
        <v>57</v>
      </c>
      <c r="E23" s="91" t="s">
        <v>335</v>
      </c>
      <c r="F23" s="93" t="s">
        <v>9</v>
      </c>
      <c r="G23" s="145">
        <v>46175</v>
      </c>
      <c r="H23" s="145">
        <v>46181</v>
      </c>
      <c r="I23" s="93">
        <v>11</v>
      </c>
      <c r="J23" s="91" t="s">
        <v>363</v>
      </c>
    </row>
    <row r="24" spans="1:10" ht="80.400000000000006" customHeight="1" x14ac:dyDescent="0.3">
      <c r="A24" s="137" t="s">
        <v>238</v>
      </c>
      <c r="B24" s="132" t="s">
        <v>336</v>
      </c>
      <c r="C24" s="92" t="s">
        <v>70</v>
      </c>
      <c r="D24" s="92" t="s">
        <v>65</v>
      </c>
      <c r="E24" s="78" t="s">
        <v>305</v>
      </c>
      <c r="F24" s="79" t="s">
        <v>9</v>
      </c>
      <c r="G24" s="150">
        <v>46182</v>
      </c>
      <c r="H24" s="150">
        <v>46188</v>
      </c>
      <c r="I24" s="79">
        <v>5</v>
      </c>
      <c r="J24" s="78" t="s">
        <v>337</v>
      </c>
    </row>
    <row r="25" spans="1:10" ht="91.8" customHeight="1" x14ac:dyDescent="0.3">
      <c r="A25" s="138"/>
      <c r="B25" s="139"/>
      <c r="C25" s="92" t="s">
        <v>71</v>
      </c>
      <c r="D25" s="92" t="s">
        <v>32</v>
      </c>
      <c r="E25" s="78" t="s">
        <v>338</v>
      </c>
      <c r="F25" s="79" t="s">
        <v>34</v>
      </c>
      <c r="G25" s="138"/>
      <c r="H25" s="138"/>
      <c r="I25" s="79">
        <v>4</v>
      </c>
      <c r="J25" s="78" t="s">
        <v>339</v>
      </c>
    </row>
    <row r="26" spans="1:10" ht="78" customHeight="1" x14ac:dyDescent="0.3">
      <c r="A26" s="138"/>
      <c r="B26" s="139"/>
      <c r="C26" s="92" t="s">
        <v>71</v>
      </c>
      <c r="D26" s="92" t="s">
        <v>7</v>
      </c>
      <c r="E26" s="78" t="s">
        <v>340</v>
      </c>
      <c r="F26" s="79" t="s">
        <v>9</v>
      </c>
      <c r="G26" s="138"/>
      <c r="H26" s="138"/>
      <c r="I26" s="79">
        <v>8</v>
      </c>
      <c r="J26" s="78" t="s">
        <v>341</v>
      </c>
    </row>
    <row r="27" spans="1:10" ht="67.2" customHeight="1" x14ac:dyDescent="0.3">
      <c r="A27" s="126"/>
      <c r="B27" s="133"/>
      <c r="C27" s="92" t="s">
        <v>71</v>
      </c>
      <c r="D27" s="92" t="s">
        <v>11</v>
      </c>
      <c r="E27" s="78" t="s">
        <v>342</v>
      </c>
      <c r="F27" s="79" t="s">
        <v>9</v>
      </c>
      <c r="G27" s="126"/>
      <c r="H27" s="126"/>
      <c r="I27" s="79">
        <v>7</v>
      </c>
      <c r="J27" s="78" t="s">
        <v>343</v>
      </c>
    </row>
    <row r="28" spans="1:10" ht="60.6" customHeight="1" x14ac:dyDescent="0.3">
      <c r="A28" s="122" t="s">
        <v>239</v>
      </c>
      <c r="B28" s="129" t="s">
        <v>344</v>
      </c>
      <c r="C28" s="86" t="s">
        <v>70</v>
      </c>
      <c r="D28" s="86" t="s">
        <v>220</v>
      </c>
      <c r="E28" s="91" t="s">
        <v>221</v>
      </c>
      <c r="F28" s="93" t="s">
        <v>9</v>
      </c>
      <c r="G28" s="122" t="s">
        <v>248</v>
      </c>
      <c r="H28" s="122" t="s">
        <v>261</v>
      </c>
      <c r="I28" s="93">
        <v>4</v>
      </c>
      <c r="J28" s="91" t="s">
        <v>345</v>
      </c>
    </row>
    <row r="29" spans="1:10" ht="72.599999999999994" customHeight="1" x14ac:dyDescent="0.3">
      <c r="A29" s="123"/>
      <c r="B29" s="130"/>
      <c r="C29" s="86" t="s">
        <v>70</v>
      </c>
      <c r="D29" s="86" t="s">
        <v>222</v>
      </c>
      <c r="E29" s="91" t="s">
        <v>223</v>
      </c>
      <c r="F29" s="93" t="s">
        <v>9</v>
      </c>
      <c r="G29" s="123"/>
      <c r="H29" s="123"/>
      <c r="I29" s="93">
        <v>2</v>
      </c>
      <c r="J29" s="91" t="s">
        <v>346</v>
      </c>
    </row>
    <row r="30" spans="1:10" ht="49.2" customHeight="1" x14ac:dyDescent="0.3">
      <c r="A30" s="123"/>
      <c r="B30" s="130"/>
      <c r="C30" s="86" t="s">
        <v>70</v>
      </c>
      <c r="D30" s="86" t="s">
        <v>224</v>
      </c>
      <c r="E30" s="91" t="s">
        <v>225</v>
      </c>
      <c r="F30" s="93" t="s">
        <v>9</v>
      </c>
      <c r="G30" s="123"/>
      <c r="H30" s="123"/>
      <c r="I30" s="93">
        <v>3</v>
      </c>
      <c r="J30" s="91" t="s">
        <v>347</v>
      </c>
    </row>
    <row r="31" spans="1:10" ht="63" customHeight="1" x14ac:dyDescent="0.3">
      <c r="A31" s="124"/>
      <c r="B31" s="131"/>
      <c r="C31" s="86" t="s">
        <v>70</v>
      </c>
      <c r="D31" s="86" t="s">
        <v>226</v>
      </c>
      <c r="E31" s="91" t="s">
        <v>348</v>
      </c>
      <c r="F31" s="93" t="s">
        <v>34</v>
      </c>
      <c r="G31" s="124"/>
      <c r="H31" s="124"/>
      <c r="I31" s="93">
        <v>2</v>
      </c>
      <c r="J31" s="91" t="s">
        <v>349</v>
      </c>
    </row>
    <row r="32" spans="1:10" ht="28.8" customHeight="1" x14ac:dyDescent="0.3">
      <c r="A32" s="154" t="s">
        <v>364</v>
      </c>
      <c r="B32" s="155"/>
      <c r="C32" s="155"/>
      <c r="D32" s="155"/>
      <c r="E32" s="155"/>
      <c r="F32" s="155"/>
      <c r="G32" s="155"/>
      <c r="H32" s="156"/>
      <c r="I32" s="148">
        <f>SUM(I3:I31)</f>
        <v>139</v>
      </c>
      <c r="J32" s="149"/>
    </row>
    <row r="33" spans="1:10" ht="55.8" customHeight="1" x14ac:dyDescent="0.3">
      <c r="A33" s="73"/>
      <c r="B33" s="73"/>
      <c r="C33" s="73"/>
      <c r="D33" s="73"/>
    </row>
    <row r="34" spans="1:10" ht="30.6" customHeight="1" x14ac:dyDescent="0.3">
      <c r="A34" s="136" t="s">
        <v>273</v>
      </c>
      <c r="B34" s="136"/>
      <c r="C34" s="136"/>
      <c r="D34" s="136"/>
      <c r="E34" s="136"/>
      <c r="F34" s="136"/>
      <c r="G34" s="136"/>
      <c r="H34" s="136"/>
      <c r="I34" s="136"/>
      <c r="J34" s="136"/>
    </row>
    <row r="35" spans="1:10" ht="45.6" customHeight="1" x14ac:dyDescent="0.3">
      <c r="A35" s="127" t="s">
        <v>69</v>
      </c>
      <c r="B35" s="127"/>
      <c r="C35" s="127"/>
      <c r="D35" s="127" t="s">
        <v>274</v>
      </c>
      <c r="E35" s="128"/>
      <c r="F35" s="128"/>
      <c r="G35" s="127" t="s">
        <v>275</v>
      </c>
      <c r="H35" s="128"/>
      <c r="I35" s="128"/>
      <c r="J35" s="128"/>
    </row>
    <row r="36" spans="1:10" ht="37.799999999999997" customHeight="1" x14ac:dyDescent="0.3">
      <c r="A36" s="151" t="s">
        <v>276</v>
      </c>
      <c r="B36" s="152"/>
      <c r="C36" s="153"/>
      <c r="D36" s="134" t="s">
        <v>277</v>
      </c>
      <c r="E36" s="128"/>
      <c r="F36" s="128"/>
      <c r="G36" s="135" t="s">
        <v>278</v>
      </c>
      <c r="H36" s="128"/>
      <c r="I36" s="128"/>
      <c r="J36" s="128"/>
    </row>
    <row r="37" spans="1:10" ht="38.4" customHeight="1" x14ac:dyDescent="0.3">
      <c r="A37" s="73"/>
      <c r="B37" s="73"/>
      <c r="C37" s="73"/>
      <c r="D37" s="73"/>
    </row>
    <row r="38" spans="1:10" ht="42.6" customHeight="1" x14ac:dyDescent="0.3">
      <c r="A38" s="73"/>
      <c r="B38" s="73"/>
      <c r="C38" s="73"/>
      <c r="D38" s="73"/>
    </row>
    <row r="39" spans="1:10" ht="49.2" customHeight="1" x14ac:dyDescent="0.3">
      <c r="A39" s="73"/>
      <c r="B39" s="73"/>
      <c r="C39" s="73"/>
      <c r="D39" s="73"/>
    </row>
    <row r="40" spans="1:10" ht="39.6" customHeight="1" x14ac:dyDescent="0.3">
      <c r="A40" s="73"/>
      <c r="B40" s="73"/>
      <c r="C40" s="73"/>
      <c r="D40" s="73"/>
    </row>
    <row r="41" spans="1:10" ht="46.8" customHeight="1" x14ac:dyDescent="0.3">
      <c r="A41" s="73"/>
      <c r="B41" s="73"/>
      <c r="C41" s="73"/>
      <c r="D41" s="73"/>
    </row>
    <row r="42" spans="1:10" ht="48" customHeight="1" x14ac:dyDescent="0.3">
      <c r="A42" s="73"/>
      <c r="B42" s="73"/>
      <c r="C42" s="73"/>
      <c r="D42" s="73"/>
    </row>
    <row r="43" spans="1:10" ht="50.4" customHeight="1" x14ac:dyDescent="0.3">
      <c r="A43" s="73"/>
      <c r="B43" s="73"/>
      <c r="C43" s="73"/>
      <c r="D43" s="73"/>
    </row>
    <row r="44" spans="1:10" ht="39.6" customHeight="1" x14ac:dyDescent="0.3"/>
    <row r="45" spans="1:10" ht="33.6" customHeight="1" x14ac:dyDescent="0.3"/>
    <row r="46" spans="1:10" ht="14.4" customHeight="1" x14ac:dyDescent="0.3"/>
    <row r="48" spans="1:10" ht="27" customHeight="1" x14ac:dyDescent="0.3"/>
    <row r="49" ht="61.8" customHeight="1" x14ac:dyDescent="0.3"/>
  </sheetData>
  <mergeCells count="45">
    <mergeCell ref="B18:B21"/>
    <mergeCell ref="G18:G21"/>
    <mergeCell ref="H18:H21"/>
    <mergeCell ref="A7:A8"/>
    <mergeCell ref="B7:B8"/>
    <mergeCell ref="G7:G8"/>
    <mergeCell ref="H7:H8"/>
    <mergeCell ref="A9:A11"/>
    <mergeCell ref="B9:B11"/>
    <mergeCell ref="G9:G11"/>
    <mergeCell ref="H9:H11"/>
    <mergeCell ref="A1:J1"/>
    <mergeCell ref="A5:A6"/>
    <mergeCell ref="B5:B6"/>
    <mergeCell ref="A3:A4"/>
    <mergeCell ref="B3:B4"/>
    <mergeCell ref="G5:G6"/>
    <mergeCell ref="H5:H6"/>
    <mergeCell ref="G3:G4"/>
    <mergeCell ref="H3:H4"/>
    <mergeCell ref="H12:H14"/>
    <mergeCell ref="A12:A14"/>
    <mergeCell ref="B12:B14"/>
    <mergeCell ref="G12:G14"/>
    <mergeCell ref="G15:G17"/>
    <mergeCell ref="H15:H17"/>
    <mergeCell ref="A15:A17"/>
    <mergeCell ref="B15:B17"/>
    <mergeCell ref="A36:C36"/>
    <mergeCell ref="D36:F36"/>
    <mergeCell ref="G36:J36"/>
    <mergeCell ref="A34:J34"/>
    <mergeCell ref="A28:A31"/>
    <mergeCell ref="B28:B31"/>
    <mergeCell ref="G28:G31"/>
    <mergeCell ref="H28:H31"/>
    <mergeCell ref="A32:H32"/>
    <mergeCell ref="A35:C35"/>
    <mergeCell ref="D35:F35"/>
    <mergeCell ref="G35:J35"/>
    <mergeCell ref="A24:A27"/>
    <mergeCell ref="B24:B27"/>
    <mergeCell ref="G24:G27"/>
    <mergeCell ref="H24:H27"/>
    <mergeCell ref="A18:A2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2026-05-19T15:01:04Z</dcterms:modified>
</cp:coreProperties>
</file>