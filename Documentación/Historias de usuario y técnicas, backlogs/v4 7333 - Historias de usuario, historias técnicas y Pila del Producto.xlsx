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B0211896-8A47-4494-83EB-F967498AEB0D}" xr6:coauthVersionLast="47" xr6:coauthVersionMax="47" xr10:uidLastSave="{00000000-0000-0000-0000-000000000000}"/>
  <bookViews>
    <workbookView xWindow="-108" yWindow="-108" windowWidth="23256" windowHeight="12456" firstSheet="1" activeTab="3" xr2:uid="{59FC8592-1491-4403-848F-76B2B904A2E7}"/>
  </bookViews>
  <sheets>
    <sheet name="Introducción" sheetId="4" r:id="rId1"/>
    <sheet name="Historias de Usuario" sheetId="1" r:id="rId2"/>
    <sheet name="Historias Técnicas" sheetId="2" r:id="rId3"/>
    <sheet name="Product Backlog"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3" l="1"/>
  <c r="F20" i="2"/>
  <c r="F15" i="1"/>
</calcChain>
</file>

<file path=xl/sharedStrings.xml><?xml version="1.0" encoding="utf-8"?>
<sst xmlns="http://schemas.openxmlformats.org/spreadsheetml/2006/main" count="637" uniqueCount="365">
  <si>
    <t>FIE Explorer 3D — Historias de Usuario</t>
  </si>
  <si>
    <t>ID</t>
  </si>
  <si>
    <t>Historia de Usuario</t>
  </si>
  <si>
    <t>Criterios de Aceptación</t>
  </si>
  <si>
    <t>Requisito Asociado</t>
  </si>
  <si>
    <t>Prioridad</t>
  </si>
  <si>
    <t>Sprint</t>
  </si>
  <si>
    <t>HU-01</t>
  </si>
  <si>
    <t>RF-01</t>
  </si>
  <si>
    <t>Alta</t>
  </si>
  <si>
    <t>Sprint 4</t>
  </si>
  <si>
    <t>HU-02</t>
  </si>
  <si>
    <t>Como usuario quiero explorar el modelo 3D interior del edificio principal de la FIE para conocer la distribución de laboratorios y servicios internamente.</t>
  </si>
  <si>
    <t>RF-02</t>
  </si>
  <si>
    <t>HU-03</t>
  </si>
  <si>
    <t>Como usuario quiero navegar libremente en el visor 3D usando controles de ratón, teclado y gestos táctiles para recorrer el entorno de forma intuitiva.</t>
  </si>
  <si>
    <t>RF-03</t>
  </si>
  <si>
    <t>HU-04</t>
  </si>
  <si>
    <t>Como usuario quiero hacer clic en hotspots interactivos del modelo 3D para consultar información detallada de laboratorios, servicios y espacios académicos.</t>
  </si>
  <si>
    <t>RF-04</t>
  </si>
  <si>
    <t>HU-05</t>
  </si>
  <si>
    <t>RF-05</t>
  </si>
  <si>
    <t>HU-06</t>
  </si>
  <si>
    <t>Como usuario quiero pulsar un botón 'Cámara Inicial' para regresar rápidamente a la vista predeterminada del visor 3D cuando me desorienta.</t>
  </si>
  <si>
    <t>RF-06</t>
  </si>
  <si>
    <t>HU-07</t>
  </si>
  <si>
    <t>Como administrador quiero gestionar (crear, editar, desactivar, eliminar) los hotspots informativos desde un panel web sin intervención del equipo de desarrollo.</t>
  </si>
  <si>
    <t>RF-07</t>
  </si>
  <si>
    <t>Sprint 5</t>
  </si>
  <si>
    <t>HU-08</t>
  </si>
  <si>
    <t>Como administrador quiero iniciar sesión con mis credenciales institucionales ESPOCH de forma segura mediante JWT para acceder al panel de administración.</t>
  </si>
  <si>
    <t>RF-08</t>
  </si>
  <si>
    <t>HU-09</t>
  </si>
  <si>
    <t>RF-11</t>
  </si>
  <si>
    <t>Media</t>
  </si>
  <si>
    <t>HU-10</t>
  </si>
  <si>
    <t>Como usuario de dispositivo móvil quiero que la interfaz sea responsive y los controles táctiles funcionen correctamente para explorar el visor 3D desde mi teléfono.</t>
  </si>
  <si>
    <t>RF-12</t>
  </si>
  <si>
    <t>HU-11</t>
  </si>
  <si>
    <t>Como administrador quiero cargar nuevos archivos de modelo 3D en formato GLB al sistema para actualizar o añadir edificios al visor sin intervención del desarrollador.</t>
  </si>
  <si>
    <t>HU-12</t>
  </si>
  <si>
    <t>Como administrador quiero visualizar los logs de auditoría del panel (accesos, cambios en hotspots, errores) para monitorear la actividad del sistema.</t>
  </si>
  <si>
    <t>Sprint 6</t>
  </si>
  <si>
    <t>TOTAL HISTORIAS DE USUARIO</t>
  </si>
  <si>
    <t>FIE Explorer 3D — Historias Técnicas</t>
  </si>
  <si>
    <t>Historia Técnica</t>
  </si>
  <si>
    <t>Descripción / Criterios Técnicos</t>
  </si>
  <si>
    <t>HT-01</t>
  </si>
  <si>
    <t>RNF-03, RNF-06</t>
  </si>
  <si>
    <t>HT-02</t>
  </si>
  <si>
    <t>RNF-05</t>
  </si>
  <si>
    <t>Sprint 2</t>
  </si>
  <si>
    <t>HT-03</t>
  </si>
  <si>
    <t>RF-09</t>
  </si>
  <si>
    <t>HT-04</t>
  </si>
  <si>
    <t>Sprint 3</t>
  </si>
  <si>
    <t>HT-05</t>
  </si>
  <si>
    <t>HT-06</t>
  </si>
  <si>
    <t>HT-07</t>
  </si>
  <si>
    <t>RNF-02, RO-01</t>
  </si>
  <si>
    <t>HT-08</t>
  </si>
  <si>
    <t>RF-01, RF-02</t>
  </si>
  <si>
    <t>HT-09</t>
  </si>
  <si>
    <t>HT-10</t>
  </si>
  <si>
    <t>Sprint 7</t>
  </si>
  <si>
    <t>HT-11</t>
  </si>
  <si>
    <t>RNF-04, RNF-06</t>
  </si>
  <si>
    <t>TOTAL HISTORIAS TÉCNICAS</t>
  </si>
  <si>
    <t>Objetivo del Sprint</t>
  </si>
  <si>
    <t>Tipo</t>
  </si>
  <si>
    <t>HT</t>
  </si>
  <si>
    <t>HU</t>
  </si>
  <si>
    <t>FIE Explorer 3D — Product Backlog</t>
  </si>
  <si>
    <t>Proyecto:</t>
  </si>
  <si>
    <t>Versión SRS:</t>
  </si>
  <si>
    <t>Desarrollador:</t>
  </si>
  <si>
    <t>Grefa Rivadeneyra Rumi Adrian — Código 7333</t>
  </si>
  <si>
    <t>Director:</t>
  </si>
  <si>
    <t>García Pumagualle Cristian Alexis</t>
  </si>
  <si>
    <t>E-mail proponente:</t>
  </si>
  <si>
    <t>rumi.grefa@espoch.edu.ec  |  0982568282</t>
  </si>
  <si>
    <t>E-mail director:</t>
  </si>
  <si>
    <t>alexis.garcia@espoch.edu.ec</t>
  </si>
  <si>
    <t>Institución:</t>
  </si>
  <si>
    <t>Escuela Superior Politécnica de Chimborazo (ESPOCH) — Carrera Software</t>
  </si>
  <si>
    <t>Facultad:</t>
  </si>
  <si>
    <t>Informática y Electrónica (FIE)</t>
  </si>
  <si>
    <t>Duración del proyecto:</t>
  </si>
  <si>
    <t>4 meses — Metodología Scrum — 8 Sprints</t>
  </si>
  <si>
    <t>Presupuesto:</t>
  </si>
  <si>
    <t>Estándar SRS:</t>
  </si>
  <si>
    <t>IEEE Std 830-1998</t>
  </si>
  <si>
    <t>Modelo de calidad:</t>
  </si>
  <si>
    <t>ISO/IEC 25010:2023 — Capacidad de Interacción</t>
  </si>
  <si>
    <t>Fecha de preparación:</t>
  </si>
  <si>
    <t>29/03/2026</t>
  </si>
  <si>
    <t>Fecha actualización:</t>
  </si>
  <si>
    <t>07/04/2026</t>
  </si>
  <si>
    <t>#</t>
  </si>
  <si>
    <t>Nombre del Requisito</t>
  </si>
  <si>
    <t>Descripción</t>
  </si>
  <si>
    <t>Casos de Uso Relacionados</t>
  </si>
  <si>
    <t>Estado en v1.1</t>
  </si>
  <si>
    <t>REQUISITOS FUNCIONALES (RF)</t>
  </si>
  <si>
    <t>Visualización 3D de áreas exteriores de la FIE</t>
  </si>
  <si>
    <t>Funcional</t>
  </si>
  <si>
    <t>El sistema debe cargar y renderizar en el navegador web los modelos fotogramétricos de todos los edificios exteriores de la FIE en formato GLB/GLTF con compresión Draco, usando Three.js/WebGL con iluminación ambiental y hemisférica. Los modelos deben ser visibles desde diferentes ángulos y distancias.</t>
  </si>
  <si>
    <t>Alta / Esencial</t>
  </si>
  <si>
    <t>CU-01</t>
  </si>
  <si>
    <t>Sin cambios</t>
  </si>
  <si>
    <t>Visualización 3D de espacios interiores del edificio principal</t>
  </si>
  <si>
    <t>El sistema debe cargar y renderizar los modelos fotogramétricos interiores del bloque principal de la FIE: pasillos, laboratorios, secretaría, decanato y áreas de servicio. Los modelos se limitan estrictamente al edificio principal y deben estar optimizados con retopología y baking de texturas.</t>
  </si>
  <si>
    <t>CU-02</t>
  </si>
  <si>
    <t>Navegación libre en el visor 3D</t>
  </si>
  <si>
    <t>El sistema debe implementar controles de navegación completos mediante Three.js OrbitControls: (a) Rotación con clic izquierdo+arrastre o deslizamiento táctil; (b) Panning con clic derecho+arrastre o dos dedos; (c) Zoom con rueda del ratón o pinch táctil. Los controles responden en tiempo real con damping suave.</t>
  </si>
  <si>
    <t>CU-04</t>
  </si>
  <si>
    <t>Sistema de hotspots informativos interactivos</t>
  </si>
  <si>
    <t>El sistema debe mostrar marcadores interactivos (hotspots) en puntos estratégicos del modelo 3D mediante coordenadas espaciales en PostGIS. Al activar un hotspot, consulta la API REST y muestra un panel con: nombre, descripción, tipo (laboratorio/servicio/oficina), equipamiento, horario e imágenes. Los hotspots se diferencian visualmente por tipo.</t>
  </si>
  <si>
    <t>CU-03</t>
  </si>
  <si>
    <t>Mini-mapa 2D sincronizado</t>
  </si>
  <si>
    <t>El sistema debe mostrar un mini-mapa 2D en overlay sobre el visor 3D que indique en tiempo real la posición y orientación de la cámara. El mini-mapa debe: actualizarse con cada frame de renderizado, permitir clic para navegar a un punto, expandirse/colapsarse según preferencia, y adaptarse al contexto (plano exterior o planta de edificio para interior).</t>
  </si>
  <si>
    <t>CU-06</t>
  </si>
  <si>
    <t>Reseteo de vista de cámara</t>
  </si>
  <si>
    <t>El sistema debe proveer un botón permanente 'Cámara Inicial' en el visor. Al pulsarlo, la cámara regresa a su posición predeterminada mediante animación TWEEN interpolada (~1.2 s, curva ease-in-out). El botón se desactiva durante la animación para evitar conflictos. El mini-mapa se actualiza al finalizar.</t>
  </si>
  <si>
    <t>CU-05</t>
  </si>
  <si>
    <t>Módulo de gestión de contenidos de hotspots (panel admin)</t>
  </si>
  <si>
    <t>El sistema debe proveer un panel de administración en /admin para: (a) Listar todos los hotspots con estado activo/inactivo; (b) Crear nuevos hotspots con coordenadas 3D (x,y,z) y datos descriptivos; (c) Editar nombre, descripción, tipo, horario, equipamiento; (d) Activar/desactivar hotspots sin eliminarlos; (e) Eliminar hotspots con confirmación. Los cambios se reflejan en el visor sin recargar la página. [NOTA: La validación de archivos se especifica en RF-15]</t>
  </si>
  <si>
    <t>CU-08</t>
  </si>
  <si>
    <t>Autenticación segura del administrador</t>
  </si>
  <si>
    <t>El sistema debe implementar autenticación basada en JWT para el módulo de administración: contraseñas hasheadas con bcrypt (factor ≥12); bloqueo tras 5 intentos fallidos en 15 min por 30 min; expiración de sesión de 8 h; cookies HttpOnly para el token; middleware de verificación en todas las rutas /admin. El formulario de login no debe revelar si el error es de correo o contraseña.</t>
  </si>
  <si>
    <t>CU-07</t>
  </si>
  <si>
    <t>Detección de compatibilidad del navegador (Feature Detection)</t>
  </si>
  <si>
    <t>El sistema debe verificar al inicio la disponibilidad de WebGL mediante Feature Detection. Si WebGL no está disponible, muestra un mensaje descriptivo con requisitos mínimos del sistema (navegador y versión recomendados) y un enlace de descarga del navegador recomendado, sin mostrar una pantalla en blanco.</t>
  </si>
  <si>
    <t>RF-10</t>
  </si>
  <si>
    <t>Optimización LOD (Level of Detail) de modelos 3D</t>
  </si>
  <si>
    <t>El sistema debe implementar técnicas LOD para todos los modelos 3D con al menos 3 niveles de resolución geométrica (alta: &lt;5 m, media: 5-20 m, baja: &gt;20 m de distancia de cámara) mediante THREE.LOD. Los modelos GLB deben aplicar compresión Draco para geometría y texturas KTX2/Basis Universal. El sistema no debe exceder 300.000 triángulos visibles simultáneamente.</t>
  </si>
  <si>
    <t>CU-01, CU-02</t>
  </si>
  <si>
    <t>Indicador de progreso de carga y manejo de errores de red</t>
  </si>
  <si>
    <t>El sistema debe mostrar una barra de progreso con porcentaje de descarga durante la carga inicial de modelos 3D. Si un modelo no carga en 30 s, debe ofrecer un modo de baja resolución. En caso de error, intenta hasta 2 recargas automáticas y notifica al usuario con mensaje amigable si todas fallan. Debe implementar gestión de Disposables en React para prevenir fugas de memoria al cambiar de escena.</t>
  </si>
  <si>
    <t>Media / Deseado</t>
  </si>
  <si>
    <t>Interfaz responsive con diseño Mobile-First</t>
  </si>
  <si>
    <t>La interfaz debe seguir el enfoque Mobile-First, adaptándose a dispositivos desde 320 px hasta monitores 4K. Los controles táctiles del visor 3D (OrbitControls con gestos) deben estar optimizados para pantallas táctiles. El mini-mapa y paneles de hotspots se reposicionan automáticamente en pantallas pequeñas mediante Media Queries CSS. El panel de administración también debe ser accesible desde móviles.</t>
  </si>
  <si>
    <t>CU-12</t>
  </si>
  <si>
    <t>RF-13</t>
  </si>
  <si>
    <t>Módulo de carga y actualización de modelos 3D GLB (panel admin)</t>
  </si>
  <si>
    <t>El sistema debe proveer en el panel de administración un módulo para que el administrador pueda subir nuevos archivos de modelo 3D en formato .glb/.gltf al servidor. Requisitos: (a) Formulario de carga con validación de extensión y tamaño (≤50 MB); (b) Barra de progreso de subida con porcentaje visible; (c) El modelo queda disponible en el visor tras publicar; (d) El sistema almacena la ruta del archivo y los metadatos del modelo en la base de datos.</t>
  </si>
  <si>
    <t>CU-09</t>
  </si>
  <si>
    <t>RF-14</t>
  </si>
  <si>
    <t>Accesibilidad básica WCAG 2.1 AA</t>
  </si>
  <si>
    <t>El sistema debe cumplir requisitos básicos de accesibilidad WCAG 2.1 nivel AA al ser una plataforma de una universidad pública (ESPOCH): (a) Controles del visor 3D navegables por teclado (Tab + Enter); (b) Contraste de colores ≥4.5:1 para texto informativo y etiquetas; (c) Etiquetas ARIA en todos los botones, paneles interactivos y controles del visor; (d) Texto alternativo en imágenes de hotspots.</t>
  </si>
  <si>
    <t>CU-03, CU-04, CU-05, CU-06</t>
  </si>
  <si>
    <t>RF-15</t>
  </si>
  <si>
    <t>Validación y restricción de archivos multimedia</t>
  </si>
  <si>
    <t>El sistema debe aplicar validaciones técnicas explícitas a todos los archivos subidos al panel admin: (a) Imágenes de hotspots: formatos permitidos JPG, PNG, WEBP; dimensiones máximas 2048×2048 px; peso máximo 2 MB; (b) Modelos 3D: solo extensiones .glb/.gltf; peso máximo 50 MB. Los mensajes de error deben ser descriptivos, mostrarse en tiempo real en el formulario y no limpiar los demás campos.</t>
  </si>
  <si>
    <t>CU-08, CU-09</t>
  </si>
  <si>
    <t>RF-16</t>
  </si>
  <si>
    <t>Visualización de logs de auditoría en panel admin</t>
  </si>
  <si>
    <t>El sistema debe proveer en el panel de administración una pantalla de consulta de logs de auditoría que permita al administrador: (a) Ver tabla paginada con columnas: timestamp, usuario, IP, acción y datos modificados; (b) Filtrar por rango de fecha y tipo de acción (login, crear/editar/eliminar hotspot, carga de modelo); (c) Exportar los registros filtrados a CSV.</t>
  </si>
  <si>
    <t>REQUISITOS NO FUNCIONALES (RNF)</t>
  </si>
  <si>
    <t>RNF-01</t>
  </si>
  <si>
    <t>Rendimiento del sistema</t>
  </si>
  <si>
    <t>No Funcional</t>
  </si>
  <si>
    <t>El sistema debe: (a) Cargar y renderizar el visor 3D exterior en &lt;10 s con conexión ≥10 Mbps; (b) Mantener ≥30 FPS en equipos mínimos (Intel Core i3 8va gen, 8 GB RAM, GPU integrada WebGL 2.0); (c) Tiempo de respuesta de la API REST ≤500 ms en el 95% de los casos; (d) Archivos GLB individuales ≤50 MB tras compresión Draco.</t>
  </si>
  <si>
    <t>RNF-02</t>
  </si>
  <si>
    <t>Seguridad del sistema</t>
  </si>
  <si>
    <t>El sistema debe implementar: (a) Autenticación JWT con bcrypt (factor ≥12); (b) Protección contra inyección SQL mediante consultas parametrizadas en PostgreSQL; (c) Validación y sanitización de entradas en backend para prevenir XSS; (d) HTTPS obligatorio en producción (TLS 1.2+); (e) Cabeceras HTTP de seguridad (CSP, X-Frame-Options, HSTS); (f) Desenfoque gaussiano de rostros y placas vehiculares en texturas exteriores; (g) Registro de actividad (logs) con timestamp, IP y usuario en el módulo admin.</t>
  </si>
  <si>
    <t>CU-07, CU-08</t>
  </si>
  <si>
    <t>RNF-03</t>
  </si>
  <si>
    <t>Fiabilidad del sistema</t>
  </si>
  <si>
    <t>El sistema debe: (a) Implementar respaldos diarios automáticos de PostgreSQL en ≥2 ubicaciones en la nube distintas; (b) Gestionar el ciclo de vida de objetos Three.js (Disposables) para prevenir fugas de memoria en sesiones &gt;30 min; (c) Congelar versiones de dependencias Node.js en package.json y realizar auditorías semanales con npm audit; (d) Usar Git/GitHub con ramas separadas para desarrollo, staging y producción.</t>
  </si>
  <si>
    <t>Todos</t>
  </si>
  <si>
    <t>RNF-04</t>
  </si>
  <si>
    <t>Disponibilidad del sistema</t>
  </si>
  <si>
    <t>El sistema debe garantizar disponibilidad mínima del 95% mensual (≤36 h de inactividad/mes). El VPS debe configurarse con Docker para facilitar restauración ante fallos. El sistema debe mostrar una página de mantenimiento informativa durante ventanas programadas de actualización. La aplicación debe ser accesible 24/7 desde cualquier navegador moderno sin instalar software adicional.</t>
  </si>
  <si>
    <t>Mantenibilidad del sistema</t>
  </si>
  <si>
    <t>El sistema debe: (a) Seguir principios de código limpio y arquitectura modular en React (componentes reutilizables) y Node.js (controladores, servicios, repositorios); (b) Documentar la API REST con Swagger/OpenAPI; (c) Mantener cobertura mínima de pruebas unitarias del 60% en módulos críticos del backend (verificada con Jest/Vitest); (d) El módulo de gestión de contenidos debe permitir actualizar hotspots sin intervención del desarrollador; (e) La arquitectura debe permitir añadir nuevos modelos 3D en el futuro sin rediseño.</t>
  </si>
  <si>
    <t>RNF-06</t>
  </si>
  <si>
    <t>Portabilidad y compatibilidad multiplataforma</t>
  </si>
  <si>
    <t>El sistema debe ser compatible y funcional en: (a) Navegadores: Chrome ≥90, Firefox ≥88, Edge ≥90, Safari ≥14 (WebGL 2.0); (b) Sistemas operativos: Windows 10/11, macOS 11+, Ubuntu 20.04+, Android 10+, iOS 14+; (c) Backend ejecutable en contenedores Docker en cualquier entorno Linux; (d) PostgreSQL/PostGIS portable entre versiones 13+; (e) Modelos GLB/GLTF conformes al estándar glTF 2.0 para interoperabilidad futura.</t>
  </si>
  <si>
    <t>OTROS REQUISITOS (RO)</t>
  </si>
  <si>
    <t>RO-01</t>
  </si>
  <si>
    <t>Privacidad y protección de datos (LOPDP)</t>
  </si>
  <si>
    <t>Restricción</t>
  </si>
  <si>
    <t>Los modelos fotogramétricos exteriores que incluyan espacios públicos transitados deben someterse a post-procesamiento para aplicar desenfoque gaussiano (Gaussian Blur) a rostros identificables y placas vehiculares en las texturas, antes de ser publicados. Esta medida garantiza el cumplimiento de la Ley Orgánica de Protección de Datos Personales (LOPDP) del Ecuador.</t>
  </si>
  <si>
    <t>RO-02</t>
  </si>
  <si>
    <t>Licencias y propiedad de software</t>
  </si>
  <si>
    <t>Todo el software utilizado debe contar con licencias compatibles con uso académico sin costo: Meshroom (GPL v3), Blender (GPL v3), React.js (MIT), Three.js (MIT), Node.js (MIT), Express (MIT), PostgreSQL (PostgreSQL License), PostGIS (GPL v2), Docker (Apache 2.0). El código fuente se depositará en el repositorio institucional de la ESPOCH según reglamentos de titulación vigentes.</t>
  </si>
  <si>
    <t>RO-03</t>
  </si>
  <si>
    <t>Permisos institucionales</t>
  </si>
  <si>
    <t>El estudiante investigador debe tramitar y obtener el salvoconducto oficial del Decanato de la FIE para captura fotográfica en todas las áreas de la facultad antes del Sprint 3. Para capturas con dron (UAV) se deben tramitar adicionalmente los permisos ante la DGAC del Ecuador, conforme a la normativa vigente para vuelos UAV en espacios urbanos.</t>
  </si>
  <si>
    <t>LEYENDA DE ESTADOS Y PRIORIDADES</t>
  </si>
  <si>
    <t>Requisito añadido en versión 1.1 para cubrir brechas detectadas en la evaluación</t>
  </si>
  <si>
    <t>Requisito existente que fue actualizado para mayor precisión o atomicidad</t>
  </si>
  <si>
    <t>Requisito original de la versión 1.0 sin modificaciones</t>
  </si>
  <si>
    <t>Requisito indispensable para el funcionamiento del sistema</t>
  </si>
  <si>
    <t>Requisito importante pero no bloqueante; incluido en el alcance</t>
  </si>
  <si>
    <t xml:space="preserve">1.1 </t>
  </si>
  <si>
    <t>USD $ 939,00</t>
  </si>
  <si>
    <t>Separado de RF-07 para mayor atomicidad</t>
  </si>
  <si>
    <t>Visualización de logs requerida por RNF-02</t>
  </si>
  <si>
    <t>Accesibilidad WCAG 2.1 AA</t>
  </si>
  <si>
    <t>RF faltante para CU-09</t>
  </si>
  <si>
    <t>MODIFICADO: Separada validación multimedia de RF-15; añadido estado activo/inactivo explícito</t>
  </si>
  <si>
    <t xml:space="preserve"> NUEVO</t>
  </si>
  <si>
    <t>MODIFICADO</t>
  </si>
  <si>
    <t>Proyecto de Titulación</t>
  </si>
  <si>
    <t>Desarrollo de una aplicación web interactiva para la exploración tridimensional de la Facultad de Informática y Electrónica mediante modelos fotogramétricos.</t>
  </si>
  <si>
    <t>Duración
(horas)</t>
  </si>
  <si>
    <t>Duración (horas)</t>
  </si>
  <si>
    <t>• Arrastrar rota la cámara; rueda hace zoom; clic derecho/dos dedos hace paneo.
• Gestos táctiles funcionan en móviles (pinch/drag).
• OrbitControls con damping suave activado.
• El overlay de ayuda desaparece tras 5 s o primer clic.</t>
  </si>
  <si>
    <t>• Diseño Mobile-First desde 320 px hasta 4K.
• Gestos táctiles activados automáticamente en touch devices.
• Panel admin accesible y usable en móviles.
• El mini-mapa se colapsa por defecto en pantallas &lt;5 pulgadas.</t>
  </si>
  <si>
    <t>• Tabla paginada con timestamp, usuario, IP y acción.
• Filtros funcionales por rango de fecha y tipo de acción.
• Exportación a CSV de los registros filtrados.
• Cada acción del admin genera automáticamente un registro.</t>
  </si>
  <si>
    <t>Configurar entorno de desarrollo: Docker, GitHub, CI/CD y estructura de carpetas</t>
  </si>
  <si>
    <t>Levantamiento de información espacial de la FIE: inventario de espacios y hotspots</t>
  </si>
  <si>
    <t>Diseño de arquitectura del sistema y esquema de base de datos PostGIS</t>
  </si>
  <si>
    <t>Diseño de interfaces: wireframes del visor 3D y mockups del panel admin</t>
  </si>
  <si>
    <t>Procesamiento fotogramétrico: captura de imágenes y reconstrucción 3D en Meshroom</t>
  </si>
  <si>
    <t>Implementar Feature Detection WebGL y sistema de carga con progreso en Three.js</t>
  </si>
  <si>
    <t>Implementar autenticación JWT con bcrypt y middleware de protección de rutas admin</t>
  </si>
  <si>
    <t>HT-12</t>
  </si>
  <si>
    <t>Ejecutar pruebas funcionales, de rendimiento y de compatibilidad multiplataforma</t>
  </si>
  <si>
    <t>HT-13</t>
  </si>
  <si>
    <t>Evaluar la capacidad de interacción según ISO/IEC 25010:2023 y pruebas de accesibilidad WCAG 2.1</t>
  </si>
  <si>
    <t>HT-14</t>
  </si>
  <si>
    <t>Desplegar aplicación en VPS de producción con Docker Compose, Nginx y backups automáticos</t>
  </si>
  <si>
    <t>HT-15</t>
  </si>
  <si>
    <t>Documentación técnica final: README, Swagger UI, guía de despliegue y documentación del SRS</t>
  </si>
  <si>
    <t>RF-04, RF-07</t>
  </si>
  <si>
    <t>RF-01, RF-02, RF-07</t>
  </si>
  <si>
    <t>RF-09, RF-11</t>
  </si>
  <si>
    <t>RNF-05, RF-07</t>
  </si>
  <si>
    <t>RF-08, RNF-02</t>
  </si>
  <si>
    <t>RF-13, RF-15</t>
  </si>
  <si>
    <t>RNF-01, RNF-06</t>
  </si>
  <si>
    <t>Sprint 1</t>
  </si>
  <si>
    <t>Sprint 8</t>
  </si>
  <si>
    <t>Sprint 9</t>
  </si>
  <si>
    <t>Sprint 10</t>
  </si>
  <si>
    <t>Sprint 11</t>
  </si>
  <si>
    <t>Fecha Inicio</t>
  </si>
  <si>
    <t>14/04/2026</t>
  </si>
  <si>
    <t>21/04/2026</t>
  </si>
  <si>
    <t>28/04/2026</t>
  </si>
  <si>
    <t>05/05/2026</t>
  </si>
  <si>
    <t>12/05/2026</t>
  </si>
  <si>
    <t>02/06/2026</t>
  </si>
  <si>
    <t>09/06/2026</t>
  </si>
  <si>
    <t>16/06/2026</t>
  </si>
  <si>
    <t>23/06/2026</t>
  </si>
  <si>
    <t>Fecha inicio</t>
  </si>
  <si>
    <t>Historia / Descripción breve</t>
  </si>
  <si>
    <t>Fecha Fin</t>
  </si>
  <si>
    <t>Horas</t>
  </si>
  <si>
    <t>13/04/2026</t>
  </si>
  <si>
    <t>20/04/2026</t>
  </si>
  <si>
    <t>27/04/2026</t>
  </si>
  <si>
    <t>04/05/2026</t>
  </si>
  <si>
    <t>11/05/2026</t>
  </si>
  <si>
    <t>18/05/2026</t>
  </si>
  <si>
    <t>25/05/2026</t>
  </si>
  <si>
    <t>22/06/2026</t>
  </si>
  <si>
    <t>Revisión del repositorio GitHub: verificar existencia de las 3 ramas, ejecutar 'docker-compose up' y confirmar que los 3 servicios levantan sin errores. Revisar que el .env.example está documentado y el README tiene instrucciones de instalación.</t>
  </si>
  <si>
    <t>¿Cómo se comprueba?</t>
  </si>
  <si>
    <t>Preparación y Análisis: Configurar entorno Docker/GitHub y levantamiento de información espacial de la FIE.</t>
  </si>
  <si>
    <t>Diseño: Arquitectura del sistema, esquema BD PostGIS, wireframes del visor y mockups del panel admin.</t>
  </si>
  <si>
    <t>Presentar el documento de inventario espacial con al menos 15 hotspots identificados (nombre, tipo, descripción, horario). El inventario debe estar validado por el director.</t>
  </si>
  <si>
    <t>Presentar el diagrama de arquitectura y de secuencia. Ejecutar el script SQL de creación de tablas en PostgreSQL y verificar que PostGIS está habilitado con 'SELECT PostGIS_Version()'.</t>
  </si>
  <si>
    <t>Presentar los wireframes de todas las pantallas principales. Confirmar que los mockups están alineados con la identidad visual ESPOCH (#BC0613). Validar prototipos.</t>
  </si>
  <si>
    <t>Demo en vivo: ingresar credenciales correctas y verificar redirección al dashboard. Intentar 5 veces con contraseña incorrecta y confirmar bloqueo. Inspeccionar con DevTools que el token está en cookie HttpOnly.</t>
  </si>
  <si>
    <t>Como usuario quiero explorar el modelo 3D exterior de todos los edificios de la FIE para orientarme en el campus desde el navegador web.</t>
  </si>
  <si>
    <t>Demo en dispositivo móvil real: navegar visor con gestos táctiles, verificar mini-mapa colapsado y expandible, confirmar panel admin usable con el dedo.</t>
  </si>
  <si>
    <t>Backend – Fundación: API REST completa con Swagger/OpenAPI y autenticación JWT segura con bcrypt.</t>
  </si>
  <si>
    <t>LEYENDA · JUSTIFICACIÓN DEL REORDENAMIENTO v2.0</t>
  </si>
  <si>
    <t>Prioridad / Estado</t>
  </si>
  <si>
    <t>¿Por qué primero el sistema?</t>
  </si>
  <si>
    <t>HT = Historia Técnica
HU = Historia de Usuario</t>
  </si>
  <si>
    <t>Alta = indispensable
Media = deseado
COMPLETADO / EN CURSO / PENDIENTE</t>
  </si>
  <si>
    <t>Sprints 2–6: construir el sistema web completo con modelos placeholder → backend API, admin panel y visor 3D ya operativos antes de la captura real.
Sprints 7–8: fotogrametría y Blender cuando el sistema ya está listo para recibir los GLB.
Sprint 9: integrar los modelos reales en el sistema ya probado.</t>
  </si>
  <si>
    <t>Sprint 12</t>
  </si>
  <si>
    <t>• El modelo GLB REAL exterior carga correctamente desde la BD.
• Se aplican 3 niveles LOD según distancia de cámara (THREE.LOD).
• La cámara navega automáticamente a las coordenadas del modelo almacenadas en admin al seleccionar el edificio.
• El usuario puede rotar, hacer zoom y paneo sin restricciones.</t>
  </si>
  <si>
    <t>• Transición animada desde vista exterior en ≤3 s con modelo REAL cargado.
• Se renderizan pasillos, laboratorios, secretaría y decanato con texturas reales.
• El usuario puede regresar a la vista exterior con 'Vista Exterior'.
• El mini-mapa cambia al plano interior.</t>
  </si>
  <si>
    <t>• Los hotspots se muestran como íconos flotantes animados sobre el mapa Mapbox.
• Al hacer clic, el panel muestra: nombre, descripción, tipo, equipamiento, horario e imagen.
• El panel se cierra con botón X o clic fuera.
• Los marcadores usan la posición geográfica registrada en el admin.</t>
  </si>
  <si>
    <t>• Animación TWEEN de ~1.2 s ease-in-out al presionar el botón.
• El botón se desactiva durante la animación y se reactiva al finalizar.
• El mini-mapa refleja la posición inicial al terminar la animación.</t>
  </si>
  <si>
    <t>• CRUD completo de hotspots con formulario de validación inline.
• Los cambios se reflejan en el visor público sin recargar la página.
• Se puede activar/desactivar un hotspot sin eliminarlo.
• Confirmación de diálogo antes de eliminar cualquier hotspot o modelo.
• Se registra cada acción en el log de auditoría con timestamp, IP y usuario.</t>
  </si>
  <si>
    <t>• Login con email + contraseña (bcrypt factor ≥12).
• Bloqueo tras 5 intentos fallidos durante 30 min.
• Token JWT en cookie HttpOnly con expiración de 8 horas.
• Error genérico sin revelar cuál campo falló.</t>
  </si>
  <si>
    <t>• Formulario de carga que solo acepta .glb/.gltf con máx 50 MB.
• Barra de progreso de subida con porcentaje visible.
• El modelo queda disponible en el selector del visor tras publicar.
• El formulario de registro de modelo está disponible tanto en la sección Modelos como en la sección Edificios del admin (mismo formato).
• El sistema almacena ruta y metadatos en la BD.</t>
  </si>
  <si>
    <t>Como usuario quiero acceder a secciones informativas de Directorio, Acerca de y Ayuda desde el visor para obtener contactos institucionales, información del proyecto y orientación de uso.</t>
  </si>
  <si>
    <t>HT-16</t>
  </si>
  <si>
    <t>HT-17</t>
  </si>
  <si>
    <t>RF-01, RF-04</t>
  </si>
  <si>
    <t>RF-13, RF-07</t>
  </si>
  <si>
    <t>Crear repositorio GitHub con ramas main/dev/staging.
Configurar docker-compose.yml con servicios: react-frontend, node-backend, PostgreSQL/PostGIS.
Crear .env con variables de entorno. Congelar dependencias en package.json.</t>
  </si>
  <si>
    <t>Realizar observación directa de los espacios de la FIE.
Entrevistar a personal administrativo.
Elaborar inventario de laboratorios, servicios y áreas académicas con nombres, horarios, equipamiento y coordenadas aproximadas.
Documentar en Google Sheets/Excel.</t>
  </si>
  <si>
    <t>Elaborar diagrama de arquitectura (cliente-servidor: React, Node.js, PostgreSQL/PostGIS).
Diseñar esquema SQL con tablas: hotspots, users, audit_logs, models.
Habilitar extensión PostGIS.
Crear diagrama de componentes y de secuencia para flujos críticos.</t>
  </si>
  <si>
    <t>Crear wireframes en Figma/papel para: pantalla principal del visor (exterior/interior), panel de hotspot, mini-mapa, panel de login admin y dashboard de gestión.
Validar mockups con al menos 2 usuarios representativos.
Confirmar paleta de colores institucional ESPOCH (#BC0613).</t>
  </si>
  <si>
    <t>Obtener salvoconducto del Decanato FIE para captura fotográfica.
Realizar captura fotográfica de todos los edificios exteriores y espacios interiores del edificio principal con solapamiento ≥60% frontal y ≥45% lateral.
Procesar las imágenes en Meshroom (SfM/MVS) por sectores.
Exportar nube de puntos y mallas raw (OBJ/PLY).
Prerequisito: haber completado HT-16 (capacitación Blender).</t>
  </si>
  <si>
    <t>RF-10, RNF-01, RO-01</t>
  </si>
  <si>
    <t>Implementar función detectWebGL() ejecutada antes de cargar Three.js.
Crear pantalla de error descriptiva con lista de navegadores compatibles y enlace de descarga.
Implementar GLTFLoader con callback onProgress (porcentaje visible).
Implementar modo de baja resolución como fallback tras 30 s.
Gestión de Disposables para evitar fugas de memoria.</t>
  </si>
  <si>
    <t>Implementar API REST con Node.js/Express: endpoints CRUD hotspots, edificios y modelos con documentación Swagger</t>
  </si>
  <si>
    <t>Crear endpoints: GET/POST/PUT/DELETE /api/hotspots, /api/buildings, /api/models, /api/public/*.
Implementar validación de datos con Joi/express-validator.
Documentar con Swagger/OpenAPI 3.0 en /api/docs.
Implementar middleware de errores global y paginación.
Tiempo de respuesta ≤500 ms.</t>
  </si>
  <si>
    <t>Implementar POST /api/auth/login con verificación bcrypt factor ≥12.
Generar JWT con payload {userId, role, exp:8h} almacenado en cookie HttpOnly.
Implementar middleware authMiddleware en todas las rutas /admin/*.
Bloqueo tras 5 intentos fallidos (30 min).
Rate limiting por IP para emails no registrados.</t>
  </si>
  <si>
    <t>Implementar módulo de carga de archivos GLB y validación de formatos multimedia</t>
  </si>
  <si>
    <t>Implementar POST /api/models/upload con Multer.
Validar extensión (.glb/.gltf) y tamaño (≤50 MB) con mensajes de error descriptivos que no limpien el formulario.
Implementar validación de imágenes (JPG/PNG/WEBP, ≤2 MB) para hotspots.
Almacenar metadatos en BD (ruta, tamaño, fecha, building_id).
Mostrar barra de progreso de subida con porcentaje.</t>
  </si>
  <si>
    <t>Ejecutar suite de pruebas Jest/Vitest con cobertura ≥60% en módulos backend.
Medir FPS en hardware mínimo con DevTools Performance (target ≥30 FPS).
Verificar tiempos de carga &lt;10 s en Chrome, Firefox y Edge.
Prueba en Android e iOS con gestos táctiles.
Verificar que todos los flujos CRUD del admin funcionan end-to-end.
Generar reporte de pruebas con bugs encontrados y estado.</t>
  </si>
  <si>
    <t>Aplicar cuestionarios de evaluación de interacción a la muestra de 97 estudiantes (escala Likert 5 niveles).
Validar las 8 subcaracterísticas de Capacidad de Interacción.
Ejecutar Lighthouse/WAVE para verificar accesibilidad (score ≥80).
Elaborar reporte de resultados con análisis estadístico.</t>
  </si>
  <si>
    <t>Configurar docker-compose de producción (frontend, backend, PostgreSQL, Nginx).
Configurar backups diarios automáticos de PostgreSQL en 2 ubicaciones cloud.
Configurar página de mantenimiento.
Verificar disponibilidad ≥95%.</t>
  </si>
  <si>
    <t>Actualizar README con instrucciones completas de instalación, configuración y despliegue.
Verificar que Swagger UI está publicado en /api/docs en producción.
Generar PDF del SRS final.
Preparar el repositorio para entrega institucional ESPOCH.</t>
  </si>
  <si>
    <t>Implementar API REST con Node.js/Express: endpoints CRUD hotspots, edificios y modelos con Swagger</t>
  </si>
  <si>
    <t>Abrir Swagger UI en /api/docs y verificar todos los endpoints documentados. Probar GET hotspots, POST nuevo hotspot, PUT actualización, DELETE con Postman. Verificar que /api/public/* responde sin autenticación. Tiempos de respuesta ≤500 ms.</t>
  </si>
  <si>
    <t>Demo técnica: hacer login correcto y verificar cookie HttpOnly en DevTools. Hacer 5 intentos fallidos y verificar bloqueo de 30 min. Intentar acceder a /api/hotspots sin token y verificar error 401. Probar rate limiting con IP de email no registrado.</t>
  </si>
  <si>
    <t>Panel Admin – UI y gestión: Login seguro, CRUD de hotspots en el panel y medidas de seguridad HTTP.</t>
  </si>
  <si>
    <t>Como administrador quiero iniciar sesión con mis credenciales institucionales ESPOCH de forma segura</t>
  </si>
  <si>
    <t>Como administrador quiero gestionar (crear, editar, desactivar, eliminar) los hotspots desde un panel web</t>
  </si>
  <si>
    <t>Demo en vivo: crear un hotspot nuevo, editarlo, desactivarlo y reactivarlo. Confirmar diálogo de confirmación antes de eliminar. Abrir la tabla de logs y confirmar que cada acción quedó registrada con timestamp, IP y usuario.</t>
  </si>
  <si>
    <t>Demo: abrir la app sin WebGL → mensaje descriptivo con enlace. Cargar modelo GLB placeholder → barra de progreso con %. Poner red en Offline → 2 reintentos automáticos → mensaje amigable. Sin fugas de memoria al cambiar de vista (DevTools Memory tab).</t>
  </si>
  <si>
    <t>Configuración avanzada de modelos en admin: escala, offset, preview 3D y formulario unificado en Buildings</t>
  </si>
  <si>
    <t>Como administrador quiero visualizar los logs de auditoría para monitorear la actividad del sistema</t>
  </si>
  <si>
    <t>Tabla paginada con timestamp, usuario, IP y acción. Filtros por rango de fecha y tipo de acción funcionando. Exportación a CSV de los registros filtrados. Cada acción del admin genera automáticamente un registro verificable.</t>
  </si>
  <si>
    <t>Como usuario quiero acceder a secciones de Directorio, Acerca de y Ayuda desde el visor</t>
  </si>
  <si>
    <t>Frontend – Interacción completa: hotspots, mini-mapa, navegación, responsive y accesibilidad WCAG 2.1 AA.</t>
  </si>
  <si>
    <t>Como usuario quiero navegar libremente en el visor 3D usando controles de ratón, teclado y gestos táctiles</t>
  </si>
  <si>
    <t>Demo en vivo: rotación, zoom y paneo en escritorio; repetir gestos en dispositivo móvil físico. Confirmar overlay de instrucciones aparece y desaparece tras 5 s.</t>
  </si>
  <si>
    <t>Como usuario quiero hacer clic en hotspots interactivos del modelo 3D para consultar información</t>
  </si>
  <si>
    <t>Demo en vivo: hacer clic en al menos 3 hotspots de tipos distintos, verificar que el panel muestra todos los campos y se cierra correctamente. Los marcadores aparecen en la posición geográfica registrada en admin. Confirmar en móvil con toque.</t>
  </si>
  <si>
    <t>Como usuario quiero pulsar un botón 'Cámara Inicial' para regresar a la vista predeterminada</t>
  </si>
  <si>
    <t>Demo en vivo: navegar hasta posición lejana, presionar 'Cámara Inicial', verificar animación suave ~1.2 s, confirmar que el botón estuvo desactivado durante la animación.</t>
  </si>
  <si>
    <t>Como usuario de dispositivo móvil quiero que la interfaz sea responsive y los controles táctiles funcionen</t>
  </si>
  <si>
    <t>Fotogrametría – Captura: fotografía de edificios con solapamiento correcto y reconstrucción SfM/MVS en Meshroom.</t>
  </si>
  <si>
    <t>Fotogrametría – Optimización: retopología, baking de texturas, LOD y exportación GLB con Draco en Blender.</t>
  </si>
  <si>
    <t>Integración 3D: carga de modelos GLB reales, ajuste en admin y activación del visor exterior e interior con modelos reales.</t>
  </si>
  <si>
    <t>Demo: subir GLB válido desde el panel admin → barra de progreso visible → confirmación de éxito → archivo en BD. Intentar subir .pdf y archivo de 60 MB → mensajes de error descriptivos sin limpiar el formulario. Subida de imagen de hotspot con formato y tamaño inválido → error inline.</t>
  </si>
  <si>
    <t>Como administrador quiero cargar nuevos archivos de modelo 3D en formato GLB al sistema</t>
  </si>
  <si>
    <t>Demo en vivo: subir el GLB real del Edificio Principal desde el admin, observar barra de progreso, confirmar éxito. Verificar que el modelo real reemplaza al placeholder en el visor. Formulario disponible tanto en sección Modelos como en Edificios.</t>
  </si>
  <si>
    <t>Como usuario quiero explorar el modelo 3D exterior REAL de todos los edificios de la FIE</t>
  </si>
  <si>
    <t>Demo en vivo con modelo REAL cargado: cronometrar tiempo de carga (≤10 s con ≥10 Mbps), verificar 3 controles (rotación, zoom, paneo), confirmar que el LOD cambia al acercar/alejar. Al seleccionar edificio, la cámara vuela a las coordenadas exactas registradas en admin con zoom correcto.</t>
  </si>
  <si>
    <t>Como usuario quiero explorar el modelo 3D interior REAL del edificio principal de la FIE</t>
  </si>
  <si>
    <t>Demo en vivo con modelo interior REAL: clic en 'Vista Interior' → animación de transición → navegar por al menos 3 espacios reconocibles (pasillo, laboratorio, secretaría). Confirmar que 'Vista Exterior' regresa correctamente. El mini-mapa cambia al plano interior.</t>
  </si>
  <si>
    <t>Cierre: Pruebas funcionales, evaluación ISO/IEC 25010, despliegue VPS y documentación técnica final.</t>
  </si>
  <si>
    <t>Reporte de cobertura ≥60%. Captura del Profiler de Chrome con FPS ≥30. Evidencia en Chrome, Firefox, Edge y 2 dispositivos móviles. Lista de bugs encontrados y estado de resolución.</t>
  </si>
  <si>
    <t>Reporte de evaluación con resultados por subcaracterística ISO/IEC 25010:2023. Score Lighthouse Accessibility ≥80. Tabla de resultados del cuestionario con al menos 30 respuestas.</t>
  </si>
  <si>
    <t>Demo en vivo: acceder a URL pública y verificar funcionamiento completo. Mostrar crontab de backup configurado. Detener backend y verificar página de mantenimiento. Mostrar uptime del servidor.</t>
  </si>
  <si>
    <t>Documentación técnica final: README, Swagger UI, guía de despliegue y SRS</t>
  </si>
  <si>
    <t>README completo: un desarrollador nuevo puede levantar el proyecto con los comandos descritos. /api/docs en producción con Swagger UI. SRS en PDF generado. Código en repositorio institucional ESPOCH.</t>
  </si>
  <si>
    <t>Configuración admin, secciones informativas, logs de auditoría.</t>
  </si>
  <si>
    <t>Implementar sistema de caché con Redis para optimización de performance de API y modelos</t>
  </si>
  <si>
    <t>Configurar Redis como caché layer entre la API y PostgreSQL
Caché de datos de hotspots (GET /api/hotspots con TTL 5 min)
Caché de metadatos de edificios y modelos 3D (rutas GLB, coordenadas)
Invalidación de caché cuando admin modifica contenido
Reducir tiempos de respuesta de API de 500ms a &lt;100ms
Cache warming al iniciar servidor con datos más consultados</t>
  </si>
  <si>
    <t>Verificar conexión entre Redis y la API. Realizar peticiones repetidas a GET /api/hotspots y comprobar reducción de tiempo de respuesta (&lt;100 ms) mediante caché. Modificar un hotspot y validar invalidación automática de caché. Confirmar en logs los eventos cache hit y cache invalidated.</t>
  </si>
  <si>
    <t>Como usuario quiero que el edificio que seleccioné se recuerde aunque recargue la página o navegue a otra sección</t>
  </si>
  <si>
    <t>• Al seleccionar un edificio, la selección se guarda automáticamente en localStorage.
• Al recargar la página, el edificio se restaura sin que el usuario tenga que buscarlo de nuevo.
• Al navegar a otra sección y volver al explorador, el edificio sigue seleccionado..
• Sin fugas de memoria al cambiar entre escena exterior e interior.
• Si el edificio guardado ya no existe en la BD (fue eliminado del admin), la selección se limpia silenciosamente sin error.
• El badge del edificio y los hotspots se restauran igual que si el usuario lo hubiese seleccionado manualmente.</t>
  </si>
  <si>
    <t>Frontend – Visor base: Feature Detection WebGL, campus mock 3D en Mapbox y Local Storage.</t>
  </si>
  <si>
    <t>Demo: seleccionar un edificio → recargar la página → el edificio permanece seleccionado automáticamente. Navegar a otra sección y volver al explorador → el edificio sigue activo. El badge, hotspots y vista asociada se restauran correctamente desde localStorage. Si el edificio fue eliminado desde admin, la selección se limpia automáticamente sin errores en consola. Verificar en DevTools que no existan fugas de memoria al alternar entre escenas interior/exterior.</t>
  </si>
  <si>
    <t>Configuración avanzada de modelos en panel admin: escala, offset, rotación, preview 3D y formulario unificado en Buildings</t>
  </si>
  <si>
    <t>Modal de escala (x/y/z + atajos ×0.01 a ×10), rotación (x/y/z) y offset (x/y/z) en los modelos. Mini-visor Three.js dentro del admin para preview del GLB sin ir al visor público. Formulario de registro de modelo disponible tanto en Modelos como en Edificios con el mismo diseño. Diálogo de confirmación antes de eliminar cualquier modelo. Los cambios de escala se reflejan en el visor público en ≤10 s.</t>
  </si>
  <si>
    <t>Modal de configuración de escala (x/y/z + atajos rápidos ×0.01 a ×10), rotación (x/y/z) y offset (x/y/z) en los modelos.
Preview 3D del modelo GLB dentro del panel admin (mini-visor Three.js) para verificar resultado sin ir al visor público.
Formulario de registro de modelo disponible tanto en la sección Modelos como en la sección Edificios del panel (mismo diseño y campos).
Confirmación de diálogo antes de eliminar cualquier modelo.
Cambios de escala/posición se reflejan en el visor público en ≤10 s (polling o refresco automático).</t>
  </si>
  <si>
    <t>Menú de navegación con acceso a 3 secciones. Directorio muestra datos de contacto FIE por departamento. Acerca de muestra información del proyecto. Ayuda muestra guía visual con íconos y capturas. Las 3 secciones son responsive y accesibles desde móvil.</t>
  </si>
  <si>
    <t>• Menú de navegación con acceso a 3 secciones: Directorio, Acerca de, Ayuda.
• Directorio muestra datos de contacto de la FIE organizados por departamento (nombre, correo, teléfono).
• Acerca de muestra información del proyecto y tecnologías usadas.
• Ayuda muestra guía visual de uso del explorador con íconos y capturas de pantalla.
• Las 3 secciones son responsive y accesibles desde móvil.</t>
  </si>
  <si>
    <t xml:space="preserve">TOTAL HORAS BACKLOG (HU + HT) </t>
  </si>
  <si>
    <t xml:space="preserve">Mostrar fotografías capturadas (≥150 para exteriores, organizadas por edificio). Abrir Meshroom y mostrar nube de puntos densa generada. Exportar modelo OBJ/PLY y verificar que los edificios son reconocibles sin huecos críticos. </t>
  </si>
  <si>
    <t>Diseño e integración del modelo 3D del campus ESPOCH modelado en Blender</t>
  </si>
  <si>
    <t>Modelo 3D del campus ESPOCH creado en Blender e integrado correctamente en el visor público fie-explorer-3d. El modelo representa los edificios FIE con proporciones, ubicación y distribución coherentes respecto al campus. La escena se carga de forma estable, sin deformaciones, errores de textura ni pérdida de elementos principales. Al seleccionar un edificio dentro del visor público, la cámara realiza un desplazamiento automático tipo flyTo hacia su ubicación correspondiente dentro del modelo 3D, permitiendo enfocar e identificar el edificio seleccionado.</t>
  </si>
  <si>
    <t>Procesamiento fotogramétrico: captura de imágenes y reconstrucción 3D en Agisoft Metashape/Hunyung</t>
  </si>
  <si>
    <t>Modelos exportados a GLB con compresión Draco: peso ≤50 MB cada uno. Triángulos simultáneos ≤300.000 (verificar con Stats en Three.js). Modelos cargados correctamente en el visor real del proyecto.</t>
  </si>
  <si>
    <t>Optimización 3D en Blender: retopología, baking de texturasy exportación GLB con Draco</t>
  </si>
  <si>
    <t>Optimización 3D en Blender: retopología, baking de texturas y exportación GLB con Draco</t>
  </si>
  <si>
    <t>Importar mallas raw de Meshroom a Blender.
Aplicar retopología para reducir polígonos (target ≤300.000 triángulos por escena simultánea).
Aplicar baking de texturas (iluminación precocinada, Normal map, AO)..
Exportar a GLB con compresión Draco.
Demostrar que se dominan las herramientas de Blender aprendidas en HT-16 aplicadas al modelo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</si>
</sst>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b/>
      <sz val="14"/>
      <color rgb="FFFFFFFF"/>
      <name val="Arial"/>
      <charset val="1"/>
    </font>
    <font>
      <b/>
      <sz val="10"/>
      <color rgb="FFFFFFFF"/>
      <name val="Arial"/>
      <charset val="1"/>
    </font>
    <font>
      <sz val="10"/>
      <color rgb="FF000000"/>
      <name val="Arial"/>
      <charset val="1"/>
    </font>
    <font>
      <sz val="9"/>
      <color rgb="FF000000"/>
      <name val="Arial"/>
      <charset val="1"/>
    </font>
    <font>
      <b/>
      <sz val="11"/>
      <color rgb="FFFFFFFF"/>
      <name val="Arial"/>
      <charset val="1"/>
    </font>
    <font>
      <b/>
      <sz val="10"/>
      <color rgb="FF000000"/>
      <name val="Arial"/>
      <charset val="1"/>
    </font>
    <font>
      <b/>
      <sz val="10"/>
      <color rgb="FF1F3864"/>
      <name val="Arial"/>
      <charset val="1"/>
    </font>
    <font>
      <b/>
      <sz val="16"/>
      <color rgb="FFFFFFFF"/>
      <name val="Arial"/>
      <charset val="1"/>
    </font>
    <font>
      <b/>
      <sz val="9"/>
      <color rgb="FF1F3864"/>
      <name val="Arial"/>
      <charset val="1"/>
    </font>
    <font>
      <b/>
      <sz val="9"/>
      <color rgb="FF276221"/>
      <name val="Arial"/>
      <charset val="1"/>
    </font>
    <font>
      <b/>
      <sz val="9"/>
      <color rgb="FFFFFFFF"/>
      <name val="Arial"/>
      <charset val="1"/>
    </font>
    <font>
      <sz val="9"/>
      <color rgb="FF2E75B6"/>
      <name val="Arial"/>
      <charset val="1"/>
    </font>
    <font>
      <sz val="9"/>
      <color rgb="FF444444"/>
      <name val="Arial"/>
      <charset val="1"/>
    </font>
    <font>
      <b/>
      <sz val="9"/>
      <color rgb="FF9C6500"/>
      <name val="Arial"/>
      <charset val="1"/>
    </font>
    <font>
      <b/>
      <sz val="9"/>
      <color rgb="FF856404"/>
      <name val="Arial"/>
      <charset val="1"/>
    </font>
    <font>
      <b/>
      <sz val="10"/>
      <color rgb="FF999999"/>
      <name val="Arial"/>
      <charset val="1"/>
    </font>
    <font>
      <b/>
      <sz val="9"/>
      <color rgb="FF444444"/>
      <name val="Arial"/>
      <charset val="1"/>
    </font>
    <font>
      <b/>
      <sz val="11"/>
      <color rgb="FF1F3864"/>
      <name val="Arial"/>
      <charset val="1"/>
    </font>
    <font>
      <sz val="9"/>
      <name val="Arial"/>
      <family val="2"/>
    </font>
    <font>
      <sz val="10"/>
      <color rgb="FF000000"/>
      <name val="Arial"/>
      <family val="2"/>
    </font>
    <font>
      <b/>
      <sz val="10"/>
      <color rgb="FFFFFFFF"/>
      <name val="Arial"/>
      <family val="2"/>
    </font>
    <font>
      <sz val="9"/>
      <color rgb="FF000000"/>
      <name val="Arial"/>
      <family val="2"/>
    </font>
    <font>
      <sz val="10"/>
      <color rgb="FFFFFFFF"/>
      <name val="Arial"/>
      <family val="2"/>
    </font>
    <font>
      <b/>
      <sz val="11"/>
      <color rgb="FF1F3864"/>
      <name val="Arial"/>
      <family val="2"/>
      <charset val="1"/>
    </font>
    <font>
      <sz val="9"/>
      <color rgb="FF000000"/>
      <name val="Arial"/>
      <family val="2"/>
      <charset val="1"/>
    </font>
    <font>
      <b/>
      <sz val="10"/>
      <color rgb="FFFFFFFF"/>
      <name val="Arial"/>
    </font>
    <font>
      <sz val="10"/>
      <name val="Arial"/>
    </font>
    <font>
      <b/>
      <sz val="9"/>
      <name val="Arial"/>
    </font>
    <font>
      <sz val="8"/>
      <color rgb="FF0D47A1"/>
      <name val="Arial"/>
    </font>
    <font>
      <sz val="8"/>
      <color rgb="FF374151"/>
      <name val="Arial"/>
    </font>
    <font>
      <sz val="8"/>
      <color rgb="FF7B4F00"/>
      <name val="Arial"/>
    </font>
    <font>
      <sz val="10"/>
      <name val="Arial"/>
      <family val="2"/>
    </font>
    <font>
      <b/>
      <sz val="11"/>
      <color theme="0"/>
      <name val="Aptos Narrow"/>
      <family val="2"/>
      <scheme val="minor"/>
    </font>
    <font>
      <sz val="9"/>
      <color rgb="FF555555"/>
      <name val="Arial"/>
      <family val="2"/>
    </font>
    <font>
      <b/>
      <sz val="9"/>
      <color rgb="FF7B4F00"/>
      <name val="Arial"/>
      <family val="2"/>
    </font>
    <font>
      <b/>
      <sz val="9"/>
      <color rgb="FF111111"/>
      <name val="Arial"/>
      <family val="2"/>
    </font>
    <font>
      <sz val="9"/>
      <color rgb="FF0D47A1"/>
      <name val="Arial"/>
      <family val="2"/>
    </font>
    <font>
      <b/>
      <sz val="9"/>
      <name val="Arial"/>
      <family val="2"/>
    </font>
    <font>
      <b/>
      <sz val="10"/>
      <color rgb="FF1F3864"/>
      <name val="Arial"/>
      <family val="2"/>
    </font>
    <font>
      <b/>
      <sz val="11"/>
      <name val="Arial"/>
      <family val="2"/>
    </font>
    <font>
      <sz val="9"/>
      <name val="Aptos Narrow"/>
      <family val="2"/>
      <scheme val="minor"/>
    </font>
    <font>
      <b/>
      <sz val="9"/>
      <name val="Aptos Narrow"/>
      <family val="2"/>
      <scheme val="minor"/>
    </font>
    <font>
      <b/>
      <sz val="10"/>
      <color theme="0"/>
      <name val="Arial"/>
      <family val="2"/>
    </font>
    <font>
      <b/>
      <sz val="12"/>
      <color theme="0"/>
      <name val="Arial"/>
      <family val="2"/>
    </font>
  </fonts>
  <fills count="53">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AEEF3"/>
        <bgColor rgb="FFE2EFDA"/>
      </patternFill>
    </fill>
    <fill>
      <patternFill patternType="solid">
        <fgColor rgb="FFFFFFFF"/>
        <bgColor rgb="FFFFF2CC"/>
      </patternFill>
    </fill>
    <fill>
      <patternFill patternType="solid">
        <fgColor rgb="FFFCE5CD"/>
        <bgColor rgb="FFFFF2CC"/>
      </patternFill>
    </fill>
    <fill>
      <patternFill patternType="solid">
        <fgColor rgb="FFE2EFDA"/>
        <bgColor rgb="FFD9EAD3"/>
      </patternFill>
    </fill>
    <fill>
      <patternFill patternType="solid">
        <fgColor rgb="FFBDD7EE"/>
        <bgColor rgb="FFD9EAF7"/>
      </patternFill>
    </fill>
    <fill>
      <patternFill patternType="solid">
        <fgColor rgb="FFFFFFFF"/>
        <bgColor rgb="FFF9F9F9"/>
      </patternFill>
    </fill>
    <fill>
      <patternFill patternType="solid">
        <fgColor rgb="FF1F5C8B"/>
        <bgColor rgb="FF2E75B6"/>
      </patternFill>
    </fill>
    <fill>
      <patternFill patternType="solid">
        <fgColor rgb="FFDDEEFF"/>
        <bgColor rgb="FFD9EAF7"/>
      </patternFill>
    </fill>
    <fill>
      <patternFill patternType="solid">
        <fgColor rgb="FFDFF0D8"/>
        <bgColor rgb="FFE2EFDA"/>
      </patternFill>
    </fill>
    <fill>
      <patternFill patternType="solid">
        <fgColor rgb="FFFF4D4D"/>
        <bgColor rgb="FFFF8080"/>
      </patternFill>
    </fill>
    <fill>
      <patternFill patternType="solid">
        <fgColor rgb="FFEEF6FF"/>
        <bgColor rgb="FFF2F2F2"/>
      </patternFill>
    </fill>
    <fill>
      <patternFill patternType="solid">
        <fgColor rgb="FFFFEB9C"/>
        <bgColor rgb="FFFFF2CC"/>
      </patternFill>
    </fill>
    <fill>
      <patternFill patternType="solid">
        <fgColor rgb="FFFFA500"/>
        <bgColor rgb="FFFF8080"/>
      </patternFill>
    </fill>
    <fill>
      <patternFill patternType="solid">
        <fgColor rgb="FFC6EFCE"/>
        <bgColor rgb="FFDFF0D8"/>
      </patternFill>
    </fill>
    <fill>
      <patternFill patternType="solid">
        <fgColor rgb="FF375623"/>
        <bgColor rgb="FF276221"/>
      </patternFill>
    </fill>
    <fill>
      <patternFill patternType="solid">
        <fgColor rgb="FFF0F7EC"/>
        <bgColor rgb="FFF2F2F2"/>
      </patternFill>
    </fill>
    <fill>
      <patternFill patternType="solid">
        <fgColor rgb="FFD9EAF7"/>
        <bgColor rgb="FFDDEEFF"/>
      </patternFill>
    </fill>
    <fill>
      <patternFill patternType="solid">
        <fgColor rgb="FFE2EFDA"/>
        <bgColor rgb="FFDFF0D8"/>
      </patternFill>
    </fill>
    <fill>
      <patternFill patternType="solid">
        <fgColor rgb="FF7F6000"/>
        <bgColor rgb="FF856404"/>
      </patternFill>
    </fill>
    <fill>
      <patternFill patternType="solid">
        <fgColor rgb="FFFFF2CC"/>
        <bgColor rgb="FFFFF3CD"/>
      </patternFill>
    </fill>
    <fill>
      <patternFill patternType="solid">
        <fgColor rgb="FFFFF3CD"/>
        <bgColor rgb="FFFFF2CC"/>
      </patternFill>
    </fill>
    <fill>
      <patternFill patternType="solid">
        <fgColor rgb="FFFFFAE5"/>
        <bgColor rgb="FFF9F9F9"/>
      </patternFill>
    </fill>
    <fill>
      <patternFill patternType="solid">
        <fgColor rgb="FF404040"/>
        <bgColor rgb="FF444444"/>
      </patternFill>
    </fill>
    <fill>
      <patternFill patternType="solid">
        <fgColor rgb="FFF9F9F9"/>
        <bgColor rgb="FFFFFFFF"/>
      </patternFill>
    </fill>
    <fill>
      <patternFill patternType="solid">
        <fgColor rgb="FFF2F2F2"/>
        <bgColor rgb="FFF0F7EC"/>
      </patternFill>
    </fill>
    <fill>
      <patternFill patternType="solid">
        <fgColor rgb="FFBDD7EE"/>
        <bgColor rgb="FFD0E0E3"/>
      </patternFill>
    </fill>
    <fill>
      <patternFill patternType="solid">
        <fgColor rgb="FFEEF5FB"/>
        <bgColor rgb="FFEEF6FF"/>
      </patternFill>
    </fill>
    <fill>
      <patternFill patternType="solid">
        <fgColor rgb="FFE2F0D9"/>
        <bgColor rgb="FFE2EFDA"/>
      </patternFill>
    </fill>
    <fill>
      <patternFill patternType="solid">
        <fgColor rgb="FFF0F7EB"/>
        <bgColor rgb="FFF0F7EC"/>
      </patternFill>
    </fill>
    <fill>
      <patternFill patternType="solid">
        <fgColor rgb="FFF4CCCC"/>
        <bgColor rgb="FFEAD1DC"/>
      </patternFill>
    </fill>
    <fill>
      <patternFill patternType="solid">
        <fgColor rgb="FFD9EAD3"/>
        <bgColor rgb="FFDFF0D8"/>
      </patternFill>
    </fill>
    <fill>
      <patternFill patternType="solid">
        <fgColor rgb="FFCFE2F3"/>
        <bgColor rgb="FFD0E0E3"/>
      </patternFill>
    </fill>
    <fill>
      <patternFill patternType="solid">
        <fgColor rgb="FFD9D2E9"/>
        <bgColor rgb="FFEAD1DC"/>
      </patternFill>
    </fill>
    <fill>
      <patternFill patternType="solid">
        <fgColor rgb="FFD0E0E3"/>
        <bgColor rgb="FFCFE2F3"/>
      </patternFill>
    </fill>
    <fill>
      <patternFill patternType="solid">
        <fgColor rgb="FFF9CB9C"/>
        <bgColor rgb="FFF4CCCC"/>
      </patternFill>
    </fill>
    <fill>
      <patternFill patternType="solid">
        <fgColor rgb="FFB6D7A8"/>
        <bgColor rgb="FFBDD7EE"/>
      </patternFill>
    </fill>
    <fill>
      <patternFill patternType="solid">
        <fgColor rgb="FF2E75B6"/>
        <bgColor rgb="FF333333"/>
      </patternFill>
    </fill>
    <fill>
      <patternFill patternType="solid">
        <fgColor theme="9" tint="0.79989013336588644"/>
        <bgColor rgb="FFDFF0D8"/>
      </patternFill>
    </fill>
    <fill>
      <patternFill patternType="solid">
        <fgColor rgb="FFE3F2FD"/>
      </patternFill>
    </fill>
    <fill>
      <patternFill patternType="solid">
        <fgColor rgb="FFFFFFFF"/>
      </patternFill>
    </fill>
    <fill>
      <patternFill patternType="solid">
        <fgColor rgb="FFE8F0FB"/>
      </patternFill>
    </fill>
    <fill>
      <patternFill patternType="solid">
        <fgColor rgb="FFFFF8E1"/>
      </patternFill>
    </fill>
    <fill>
      <patternFill patternType="solid">
        <fgColor rgb="FF8A0410"/>
      </patternFill>
    </fill>
    <fill>
      <patternFill patternType="solid">
        <fgColor rgb="FFF9FAFB"/>
      </patternFill>
    </fill>
    <fill>
      <patternFill patternType="solid">
        <fgColor theme="6" tint="0.79998168889431442"/>
        <bgColor indexed="64"/>
      </patternFill>
    </fill>
    <fill>
      <patternFill patternType="solid">
        <fgColor rgb="FFFFF9C4"/>
      </patternFill>
    </fill>
    <fill>
      <patternFill patternType="solid">
        <fgColor rgb="FFEEF5FB"/>
        <bgColor indexed="64"/>
      </patternFill>
    </fill>
    <fill>
      <patternFill patternType="solid">
        <fgColor rgb="FFBDD7EE"/>
        <bgColor indexed="64"/>
      </patternFill>
    </fill>
    <fill>
      <patternFill patternType="solid">
        <fgColor rgb="FF1F3864"/>
        <bgColor indexed="64"/>
      </patternFill>
    </fill>
  </fills>
  <borders count="16">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bottom style="thin">
        <color rgb="FFAAAAAA"/>
      </bottom>
      <diagonal/>
    </border>
    <border>
      <left style="thin">
        <color rgb="FFAAAAAA"/>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169">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11" fillId="13"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4" fillId="14" borderId="1" xfId="0" applyFont="1" applyFill="1" applyBorder="1" applyAlignment="1">
      <alignment horizontal="left" vertical="top" wrapText="1"/>
    </xf>
    <xf numFmtId="0" fontId="12" fillId="14" borderId="1" xfId="0" applyFont="1" applyFill="1" applyBorder="1" applyAlignment="1">
      <alignment horizontal="center" vertical="center" wrapText="1"/>
    </xf>
    <xf numFmtId="0" fontId="13" fillId="14"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1" fillId="16" borderId="1" xfId="0" applyFont="1" applyFill="1" applyBorder="1" applyAlignment="1">
      <alignment horizontal="center" vertical="center" wrapText="1"/>
    </xf>
    <xf numFmtId="0" fontId="10" fillId="17" borderId="1" xfId="0" applyFont="1" applyFill="1" applyBorder="1" applyAlignment="1">
      <alignment horizontal="left" vertical="center" wrapText="1"/>
    </xf>
    <xf numFmtId="0" fontId="6" fillId="19"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4" fillId="19" borderId="1" xfId="0" applyFont="1" applyFill="1" applyBorder="1" applyAlignment="1">
      <alignment horizontal="left" vertical="top" wrapText="1"/>
    </xf>
    <xf numFmtId="0" fontId="12" fillId="19" borderId="1" xfId="0" applyFont="1" applyFill="1" applyBorder="1" applyAlignment="1">
      <alignment horizontal="center" vertical="center" wrapText="1"/>
    </xf>
    <xf numFmtId="0" fontId="13" fillId="19" borderId="1"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4" fillId="21" borderId="1" xfId="0" applyFont="1" applyFill="1" applyBorder="1" applyAlignment="1">
      <alignment horizontal="left" vertical="top" wrapText="1"/>
    </xf>
    <xf numFmtId="0" fontId="12" fillId="21" borderId="1" xfId="0" applyFont="1" applyFill="1" applyBorder="1" applyAlignment="1">
      <alignment horizontal="center" vertical="center" wrapText="1"/>
    </xf>
    <xf numFmtId="0" fontId="13" fillId="21" borderId="1" xfId="0" applyFont="1" applyFill="1" applyBorder="1" applyAlignment="1">
      <alignment horizontal="left" vertical="center" wrapText="1"/>
    </xf>
    <xf numFmtId="0" fontId="6" fillId="23" borderId="1" xfId="0" applyFont="1" applyFill="1" applyBorder="1" applyAlignment="1">
      <alignment horizontal="left" vertical="center" wrapText="1"/>
    </xf>
    <xf numFmtId="0" fontId="15" fillId="24" borderId="1" xfId="0" applyFont="1" applyFill="1" applyBorder="1" applyAlignment="1">
      <alignment horizontal="center" vertical="center" wrapText="1"/>
    </xf>
    <xf numFmtId="0" fontId="4" fillId="23" borderId="1" xfId="0" applyFont="1" applyFill="1" applyBorder="1" applyAlignment="1">
      <alignment horizontal="left" vertical="top" wrapText="1"/>
    </xf>
    <xf numFmtId="0" fontId="12" fillId="23" borderId="1" xfId="0" applyFont="1" applyFill="1" applyBorder="1" applyAlignment="1">
      <alignment horizontal="center" vertical="center" wrapText="1"/>
    </xf>
    <xf numFmtId="0" fontId="16" fillId="23" borderId="1"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6" fillId="25" borderId="1" xfId="0" applyFont="1" applyFill="1" applyBorder="1" applyAlignment="1">
      <alignment horizontal="left" vertical="center" wrapText="1"/>
    </xf>
    <xf numFmtId="0" fontId="4" fillId="25" borderId="1" xfId="0" applyFont="1" applyFill="1" applyBorder="1" applyAlignment="1">
      <alignment horizontal="left" vertical="top" wrapText="1"/>
    </xf>
    <xf numFmtId="0" fontId="12" fillId="25" borderId="1" xfId="0" applyFont="1" applyFill="1" applyBorder="1" applyAlignment="1">
      <alignment horizontal="center" vertical="center" wrapText="1"/>
    </xf>
    <xf numFmtId="0" fontId="16" fillId="25" borderId="1" xfId="0" applyFont="1" applyFill="1" applyBorder="1" applyAlignment="1">
      <alignment horizontal="center" vertical="center" wrapText="1"/>
    </xf>
    <xf numFmtId="0" fontId="13" fillId="25" borderId="1" xfId="0" applyFont="1" applyFill="1" applyBorder="1" applyAlignment="1">
      <alignment horizontal="left" vertical="center" wrapText="1"/>
    </xf>
    <xf numFmtId="0" fontId="18" fillId="29" borderId="1" xfId="0" applyFont="1" applyFill="1" applyBorder="1" applyAlignment="1">
      <alignment horizontal="center" vertical="center" wrapText="1"/>
    </xf>
    <xf numFmtId="0" fontId="4" fillId="30"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19" fillId="31" borderId="1" xfId="0" applyFont="1" applyFill="1" applyBorder="1" applyAlignment="1">
      <alignment horizontal="center" vertical="center" wrapText="1"/>
    </xf>
    <xf numFmtId="0" fontId="19" fillId="32"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2" fillId="33"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23" borderId="1" xfId="0" applyFont="1" applyFill="1" applyBorder="1" applyAlignment="1">
      <alignment horizontal="center" vertical="center" wrapText="1"/>
    </xf>
    <xf numFmtId="0" fontId="22" fillId="34" borderId="1" xfId="0" applyFont="1" applyFill="1" applyBorder="1" applyAlignment="1">
      <alignment horizontal="center" vertical="center" wrapText="1"/>
    </xf>
    <xf numFmtId="0" fontId="22" fillId="35" borderId="1" xfId="0" applyFont="1" applyFill="1" applyBorder="1" applyAlignment="1">
      <alignment horizontal="center" vertical="center" wrapText="1"/>
    </xf>
    <xf numFmtId="0" fontId="22" fillId="36" borderId="1" xfId="0" applyFont="1" applyFill="1" applyBorder="1" applyAlignment="1">
      <alignment horizontal="center" vertical="center" wrapText="1"/>
    </xf>
    <xf numFmtId="0" fontId="22" fillId="37" borderId="1" xfId="0" applyFont="1" applyFill="1" applyBorder="1" applyAlignment="1">
      <alignment horizontal="center" vertical="center" wrapText="1"/>
    </xf>
    <xf numFmtId="0" fontId="22" fillId="38" borderId="1" xfId="0" applyFont="1" applyFill="1" applyBorder="1" applyAlignment="1">
      <alignment horizontal="center" vertical="center" wrapText="1"/>
    </xf>
    <xf numFmtId="0" fontId="22" fillId="39"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2" fillId="31" borderId="1" xfId="0" applyFont="1" applyFill="1" applyBorder="1" applyAlignment="1">
      <alignment horizontal="left" vertical="center" wrapText="1"/>
    </xf>
    <xf numFmtId="0" fontId="22" fillId="32" borderId="1" xfId="0" applyFont="1" applyFill="1" applyBorder="1" applyAlignment="1">
      <alignment horizontal="left" vertical="center" wrapText="1"/>
    </xf>
    <xf numFmtId="0" fontId="3" fillId="35"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24" fillId="41" borderId="1" xfId="0" applyFont="1" applyFill="1" applyBorder="1" applyAlignment="1">
      <alignment horizontal="center" vertical="center" wrapText="1"/>
    </xf>
    <xf numFmtId="0" fontId="25" fillId="33"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23" borderId="1" xfId="0" applyFont="1" applyFill="1" applyBorder="1" applyAlignment="1">
      <alignment horizontal="center" vertical="center" wrapText="1"/>
    </xf>
    <xf numFmtId="0" fontId="25" fillId="34" borderId="1" xfId="0" applyFont="1" applyFill="1" applyBorder="1" applyAlignment="1">
      <alignment horizontal="center" vertical="center" wrapText="1"/>
    </xf>
    <xf numFmtId="0" fontId="25" fillId="35" borderId="1" xfId="0" applyFont="1" applyFill="1" applyBorder="1" applyAlignment="1">
      <alignment horizontal="center" vertical="center" wrapText="1"/>
    </xf>
    <xf numFmtId="0" fontId="25" fillId="36" borderId="1" xfId="0" applyFont="1" applyFill="1" applyBorder="1" applyAlignment="1">
      <alignment horizontal="center" vertical="center" wrapText="1"/>
    </xf>
    <xf numFmtId="0" fontId="25" fillId="37" borderId="1" xfId="0" applyFont="1" applyFill="1" applyBorder="1" applyAlignment="1">
      <alignment horizontal="center" vertical="center" wrapText="1"/>
    </xf>
    <xf numFmtId="0" fontId="25" fillId="38" borderId="1" xfId="0" applyFont="1" applyFill="1" applyBorder="1" applyAlignment="1">
      <alignment horizontal="center" vertical="center" wrapText="1"/>
    </xf>
    <xf numFmtId="0" fontId="25" fillId="39" borderId="1" xfId="0" applyFont="1" applyFill="1" applyBorder="1" applyAlignment="1">
      <alignment horizontal="center" vertical="center" wrapText="1"/>
    </xf>
    <xf numFmtId="0" fontId="27" fillId="43" borderId="0" xfId="0" applyFont="1" applyFill="1"/>
    <xf numFmtId="0" fontId="32" fillId="44" borderId="7" xfId="0" applyFont="1" applyFill="1" applyBorder="1" applyAlignment="1">
      <alignment horizontal="center" vertical="center" wrapText="1"/>
    </xf>
    <xf numFmtId="0" fontId="21" fillId="40" borderId="1" xfId="0" applyFont="1" applyFill="1" applyBorder="1" applyAlignment="1">
      <alignment horizontal="center" vertical="center" wrapText="1"/>
    </xf>
    <xf numFmtId="0" fontId="19" fillId="48" borderId="7" xfId="0" applyFont="1" applyFill="1" applyBorder="1" applyAlignment="1">
      <alignment horizontal="left" vertical="center" wrapText="1"/>
    </xf>
    <xf numFmtId="0" fontId="19" fillId="48" borderId="7" xfId="0" applyFont="1" applyFill="1" applyBorder="1" applyAlignment="1">
      <alignment horizontal="center" vertical="center" wrapText="1"/>
    </xf>
    <xf numFmtId="0" fontId="19" fillId="50" borderId="7" xfId="0" applyFont="1" applyFill="1" applyBorder="1" applyAlignment="1">
      <alignment horizontal="left" vertical="center" wrapText="1"/>
    </xf>
    <xf numFmtId="0" fontId="19" fillId="50" borderId="7" xfId="0" applyFont="1" applyFill="1" applyBorder="1" applyAlignment="1">
      <alignment horizontal="center" vertical="center" wrapText="1"/>
    </xf>
    <xf numFmtId="0" fontId="34" fillId="50" borderId="7" xfId="0" applyFont="1" applyFill="1" applyBorder="1" applyAlignment="1">
      <alignment horizontal="left" vertical="center" wrapText="1"/>
    </xf>
    <xf numFmtId="0" fontId="35" fillId="50" borderId="7" xfId="0" applyFont="1" applyFill="1" applyBorder="1" applyAlignment="1">
      <alignment horizontal="center" vertical="center" wrapText="1"/>
    </xf>
    <xf numFmtId="0" fontId="37" fillId="49" borderId="7" xfId="0" applyFont="1" applyFill="1" applyBorder="1" applyAlignment="1">
      <alignment horizontal="center" vertical="center" wrapText="1"/>
    </xf>
    <xf numFmtId="0" fontId="36" fillId="51" borderId="7" xfId="0" applyFont="1" applyFill="1" applyBorder="1" applyAlignment="1">
      <alignment horizontal="center" vertical="center" wrapText="1"/>
    </xf>
    <xf numFmtId="0" fontId="19" fillId="44" borderId="7" xfId="0" applyFont="1" applyFill="1" applyBorder="1" applyAlignment="1">
      <alignment horizontal="left" vertical="center" wrapText="1"/>
    </xf>
    <xf numFmtId="0" fontId="19" fillId="44" borderId="7" xfId="0" applyFont="1" applyFill="1" applyBorder="1" applyAlignment="1">
      <alignment horizontal="center" vertical="center" wrapText="1"/>
    </xf>
    <xf numFmtId="0" fontId="38" fillId="51" borderId="7" xfId="0" applyFont="1" applyFill="1" applyBorder="1" applyAlignment="1">
      <alignment horizontal="center" vertical="center" wrapText="1"/>
    </xf>
    <xf numFmtId="14" fontId="22" fillId="39" borderId="1" xfId="0" applyNumberFormat="1" applyFont="1" applyFill="1" applyBorder="1" applyAlignment="1">
      <alignment horizontal="center" vertical="center" wrapText="1"/>
    </xf>
    <xf numFmtId="0" fontId="39" fillId="29"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40" fillId="44" borderId="7" xfId="0" applyFont="1" applyFill="1" applyBorder="1" applyAlignment="1">
      <alignment horizontal="center" vertical="center" wrapText="1"/>
    </xf>
    <xf numFmtId="0" fontId="19" fillId="51" borderId="7" xfId="0" applyFont="1" applyFill="1" applyBorder="1" applyAlignment="1">
      <alignment horizontal="left" vertical="center" wrapText="1"/>
    </xf>
    <xf numFmtId="0" fontId="38" fillId="50" borderId="7" xfId="0" applyFont="1" applyFill="1" applyBorder="1" applyAlignment="1">
      <alignment horizontal="center" vertical="center" wrapText="1"/>
    </xf>
    <xf numFmtId="0" fontId="19" fillId="51" borderId="7" xfId="0" applyFont="1" applyFill="1" applyBorder="1" applyAlignment="1">
      <alignment horizontal="center" vertical="center" wrapText="1"/>
    </xf>
    <xf numFmtId="0" fontId="38" fillId="48" borderId="7" xfId="0" applyFont="1" applyFill="1" applyBorder="1" applyAlignment="1">
      <alignment horizontal="center" vertical="center" wrapText="1"/>
    </xf>
    <xf numFmtId="0" fontId="22" fillId="20" borderId="1" xfId="0" applyFont="1" applyFill="1" applyBorder="1" applyAlignment="1">
      <alignment horizontal="left" vertical="center" wrapText="1"/>
    </xf>
    <xf numFmtId="0" fontId="22" fillId="30" borderId="1" xfId="0" applyFont="1" applyFill="1" applyBorder="1" applyAlignment="1">
      <alignment horizontal="left" vertical="center" wrapText="1"/>
    </xf>
    <xf numFmtId="0" fontId="20" fillId="35" borderId="1" xfId="0" applyFont="1" applyFill="1" applyBorder="1" applyAlignment="1">
      <alignment horizontal="center" vertical="center" wrapText="1"/>
    </xf>
    <xf numFmtId="14" fontId="38" fillId="51" borderId="7" xfId="0" applyNumberFormat="1" applyFont="1" applyFill="1" applyBorder="1" applyAlignment="1">
      <alignment horizontal="center" vertical="center" wrapText="1"/>
    </xf>
    <xf numFmtId="0" fontId="33" fillId="52" borderId="0" xfId="0" applyFont="1" applyFill="1"/>
    <xf numFmtId="0" fontId="44" fillId="52" borderId="7" xfId="0" applyFont="1" applyFill="1" applyBorder="1" applyAlignment="1">
      <alignment horizontal="center" vertical="center" wrapText="1"/>
    </xf>
    <xf numFmtId="0" fontId="43" fillId="52" borderId="7" xfId="0" applyFont="1" applyFill="1" applyBorder="1" applyAlignment="1">
      <alignment horizontal="left" vertical="center" wrapText="1"/>
    </xf>
    <xf numFmtId="0" fontId="20" fillId="4" borderId="1" xfId="0" applyFont="1" applyFill="1" applyBorder="1" applyAlignment="1">
      <alignment horizontal="center" vertical="center" wrapText="1"/>
    </xf>
    <xf numFmtId="14" fontId="38" fillId="48" borderId="7" xfId="0" applyNumberFormat="1" applyFont="1" applyFill="1" applyBorder="1" applyAlignment="1">
      <alignment horizontal="center" vertical="center" wrapText="1"/>
    </xf>
    <xf numFmtId="0" fontId="19" fillId="50" borderId="7" xfId="0" applyFont="1" applyFill="1" applyBorder="1" applyAlignment="1">
      <alignment horizontal="left" vertical="center" wrapText="1"/>
    </xf>
    <xf numFmtId="0" fontId="41" fillId="50" borderId="9" xfId="0" applyFont="1" applyFill="1" applyBorder="1"/>
    <xf numFmtId="0" fontId="41" fillId="50" borderId="8" xfId="0" applyFont="1" applyFill="1" applyBorder="1"/>
    <xf numFmtId="14" fontId="38" fillId="50" borderId="7" xfId="0" applyNumberFormat="1" applyFont="1" applyFill="1" applyBorder="1" applyAlignment="1">
      <alignment horizontal="center" vertical="center" wrapText="1"/>
    </xf>
    <xf numFmtId="0" fontId="42" fillId="50" borderId="9" xfId="0" applyFont="1" applyFill="1" applyBorder="1"/>
    <xf numFmtId="0" fontId="42" fillId="50" borderId="8" xfId="0" applyFont="1" applyFill="1" applyBorder="1"/>
    <xf numFmtId="0" fontId="38" fillId="48" borderId="15" xfId="0" applyFont="1" applyFill="1" applyBorder="1" applyAlignment="1">
      <alignment horizontal="center" vertical="center" wrapText="1"/>
    </xf>
    <xf numFmtId="0" fontId="38" fillId="48" borderId="9" xfId="0" applyFont="1" applyFill="1" applyBorder="1" applyAlignment="1">
      <alignment horizontal="center" vertical="center" wrapText="1"/>
    </xf>
    <xf numFmtId="0" fontId="38" fillId="48" borderId="8" xfId="0" applyFont="1" applyFill="1" applyBorder="1" applyAlignment="1">
      <alignment horizontal="center" vertical="center" wrapText="1"/>
    </xf>
    <xf numFmtId="0" fontId="38" fillId="48" borderId="7" xfId="0" applyFont="1" applyFill="1" applyBorder="1" applyAlignment="1">
      <alignment horizontal="center" vertical="center"/>
    </xf>
    <xf numFmtId="0" fontId="42" fillId="48" borderId="9" xfId="0" applyFont="1" applyFill="1" applyBorder="1"/>
    <xf numFmtId="0" fontId="42" fillId="48" borderId="8" xfId="0" applyFont="1" applyFill="1" applyBorder="1"/>
    <xf numFmtId="0" fontId="19" fillId="48" borderId="7" xfId="0" applyFont="1" applyFill="1" applyBorder="1" applyAlignment="1">
      <alignment horizontal="left" vertical="center" wrapText="1"/>
    </xf>
    <xf numFmtId="0" fontId="41" fillId="48" borderId="9" xfId="0" applyFont="1" applyFill="1" applyBorder="1"/>
    <xf numFmtId="0" fontId="41" fillId="48" borderId="8" xfId="0" applyFont="1" applyFill="1" applyBorder="1"/>
    <xf numFmtId="0" fontId="38" fillId="50" borderId="7" xfId="0" applyFont="1" applyFill="1" applyBorder="1" applyAlignment="1">
      <alignment horizontal="center" vertical="center" wrapText="1"/>
    </xf>
    <xf numFmtId="0" fontId="19" fillId="48" borderId="15" xfId="0" applyFont="1" applyFill="1" applyBorder="1" applyAlignment="1">
      <alignment horizontal="center" vertical="center" wrapText="1"/>
    </xf>
    <xf numFmtId="0" fontId="19" fillId="48" borderId="9" xfId="0" applyFont="1" applyFill="1" applyBorder="1" applyAlignment="1">
      <alignment horizontal="center" vertical="center" wrapText="1"/>
    </xf>
    <xf numFmtId="0" fontId="19" fillId="48" borderId="8" xfId="0" applyFont="1" applyFill="1" applyBorder="1" applyAlignment="1">
      <alignment horizontal="center" vertical="center" wrapText="1"/>
    </xf>
    <xf numFmtId="14" fontId="38" fillId="48" borderId="15" xfId="0" applyNumberFormat="1" applyFont="1" applyFill="1" applyBorder="1" applyAlignment="1">
      <alignment horizontal="center" vertical="center" wrapText="1"/>
    </xf>
    <xf numFmtId="14" fontId="38" fillId="48" borderId="9" xfId="0" applyNumberFormat="1" applyFont="1" applyFill="1" applyBorder="1" applyAlignment="1">
      <alignment horizontal="center" vertical="center" wrapText="1"/>
    </xf>
    <xf numFmtId="14" fontId="38" fillId="48" borderId="8" xfId="0" applyNumberFormat="1" applyFont="1" applyFill="1" applyBorder="1" applyAlignment="1">
      <alignment horizontal="center" vertical="center" wrapText="1"/>
    </xf>
    <xf numFmtId="0" fontId="29" fillId="42" borderId="12" xfId="0" applyFont="1" applyFill="1" applyBorder="1" applyAlignment="1">
      <alignment horizontal="left" vertical="center" wrapText="1"/>
    </xf>
    <xf numFmtId="0" fontId="29" fillId="42" borderId="0" xfId="0" applyFont="1" applyFill="1" applyAlignment="1">
      <alignment horizontal="left" vertical="center" wrapText="1"/>
    </xf>
    <xf numFmtId="0" fontId="29" fillId="42" borderId="13" xfId="0" applyFont="1" applyFill="1" applyBorder="1" applyAlignment="1">
      <alignment horizontal="left" vertical="center" wrapText="1"/>
    </xf>
    <xf numFmtId="0" fontId="30" fillId="47" borderId="7" xfId="0" applyFont="1" applyFill="1" applyBorder="1" applyAlignment="1">
      <alignment horizontal="left" vertical="center" wrapText="1"/>
    </xf>
    <xf numFmtId="0" fontId="0" fillId="0" borderId="0" xfId="0"/>
    <xf numFmtId="0" fontId="31" fillId="45" borderId="7" xfId="0" applyFont="1" applyFill="1" applyBorder="1" applyAlignment="1">
      <alignment horizontal="left" vertical="center" wrapText="1"/>
    </xf>
    <xf numFmtId="0" fontId="26" fillId="46" borderId="0" xfId="0" applyFont="1" applyFill="1" applyAlignment="1">
      <alignment horizontal="center" vertical="center" wrapText="1"/>
    </xf>
    <xf numFmtId="0" fontId="38" fillId="51" borderId="7" xfId="0" applyFont="1" applyFill="1" applyBorder="1" applyAlignment="1">
      <alignment horizontal="center" vertical="center" wrapText="1"/>
    </xf>
    <xf numFmtId="0" fontId="42" fillId="51" borderId="9" xfId="0" applyFont="1" applyFill="1" applyBorder="1"/>
    <xf numFmtId="0" fontId="42" fillId="51" borderId="8" xfId="0" applyFont="1" applyFill="1" applyBorder="1"/>
    <xf numFmtId="0" fontId="19" fillId="51" borderId="7" xfId="0" applyFont="1" applyFill="1" applyBorder="1" applyAlignment="1">
      <alignment horizontal="left" vertical="center" wrapText="1"/>
    </xf>
    <xf numFmtId="0" fontId="41" fillId="51" borderId="9" xfId="0" applyFont="1" applyFill="1" applyBorder="1"/>
    <xf numFmtId="0" fontId="41" fillId="51" borderId="8" xfId="0" applyFont="1" applyFill="1" applyBorder="1"/>
    <xf numFmtId="0" fontId="43" fillId="52" borderId="14" xfId="0" applyFont="1" applyFill="1" applyBorder="1" applyAlignment="1">
      <alignment horizontal="center" vertical="center" wrapText="1"/>
    </xf>
    <xf numFmtId="0" fontId="43" fillId="52" borderId="10" xfId="0" applyFont="1" applyFill="1" applyBorder="1" applyAlignment="1">
      <alignment horizontal="center" vertical="center" wrapText="1"/>
    </xf>
    <xf numFmtId="0" fontId="43" fillId="52" borderId="11" xfId="0" applyFont="1" applyFill="1" applyBorder="1" applyAlignment="1">
      <alignment horizontal="center" vertical="center" wrapText="1"/>
    </xf>
    <xf numFmtId="0" fontId="28" fillId="0" borderId="0" xfId="0" applyFont="1" applyAlignment="1">
      <alignment horizontal="center" vertical="center" wrapText="1"/>
    </xf>
    <xf numFmtId="0" fontId="1" fillId="2" borderId="5" xfId="0" applyFont="1" applyFill="1" applyBorder="1" applyAlignment="1">
      <alignment horizontal="center" vertical="center" wrapText="1"/>
    </xf>
    <xf numFmtId="0" fontId="38" fillId="48" borderId="7"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2" fillId="26" borderId="0" xfId="0" applyFont="1" applyFill="1" applyAlignment="1">
      <alignment horizontal="center" vertical="center" wrapText="1"/>
    </xf>
    <xf numFmtId="0" fontId="10" fillId="17" borderId="2" xfId="0" applyFont="1" applyFill="1" applyBorder="1" applyAlignment="1">
      <alignment horizontal="center" vertical="center" wrapText="1"/>
    </xf>
    <xf numFmtId="0" fontId="4" fillId="27"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14" fillId="15" borderId="2" xfId="0" applyFont="1" applyFill="1" applyBorder="1" applyAlignment="1">
      <alignment horizontal="center" vertical="center" wrapText="1"/>
    </xf>
    <xf numFmtId="0" fontId="17" fillId="28" borderId="2" xfId="0" applyFont="1" applyFill="1" applyBorder="1" applyAlignment="1">
      <alignment horizontal="center" vertical="center" wrapText="1"/>
    </xf>
    <xf numFmtId="0" fontId="11" fillId="13"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5" fillId="18" borderId="2"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6" xfId="0" applyFill="1" applyBorder="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mruColors>
      <color rgb="FFBDD7EE"/>
      <color rgb="FFEEF5FB"/>
      <color rgb="FF1F3864"/>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E95B-2E4B-45A4-B04B-952A13017E29}">
  <sheetPr>
    <tabColor theme="8" tint="0.79998168889431442"/>
  </sheetPr>
  <dimension ref="A1:I45"/>
  <sheetViews>
    <sheetView topLeftCell="C10" zoomScale="55" zoomScaleNormal="55" workbookViewId="0">
      <selection activeCell="E27" sqref="E27"/>
    </sheetView>
  </sheetViews>
  <sheetFormatPr baseColWidth="10" defaultRowHeight="14.4" x14ac:dyDescent="0.3"/>
  <cols>
    <col min="1" max="1" width="15.33203125" customWidth="1"/>
    <col min="3" max="3" width="27.33203125" customWidth="1"/>
    <col min="5" max="5" width="66.77734375" customWidth="1"/>
    <col min="6" max="6" width="14.33203125" customWidth="1"/>
    <col min="9" max="9" width="25.21875" customWidth="1"/>
  </cols>
  <sheetData>
    <row r="1" spans="1:9" ht="21" customHeight="1" x14ac:dyDescent="0.3">
      <c r="A1" s="156" t="s">
        <v>205</v>
      </c>
      <c r="B1" s="156"/>
      <c r="C1" s="156"/>
      <c r="D1" s="156"/>
      <c r="E1" s="156"/>
      <c r="F1" s="156"/>
      <c r="G1" s="156"/>
      <c r="H1" s="156"/>
      <c r="I1" s="156"/>
    </row>
    <row r="2" spans="1:9" ht="32.4" customHeight="1" x14ac:dyDescent="0.3">
      <c r="A2" s="7" t="s">
        <v>73</v>
      </c>
      <c r="B2" s="151" t="s">
        <v>206</v>
      </c>
      <c r="C2" s="151"/>
      <c r="D2" s="151"/>
      <c r="E2" s="151"/>
      <c r="F2" s="7" t="s">
        <v>74</v>
      </c>
      <c r="G2" s="145" t="s">
        <v>196</v>
      </c>
      <c r="H2" s="146"/>
      <c r="I2" s="147"/>
    </row>
    <row r="3" spans="1:9" ht="24" customHeight="1" x14ac:dyDescent="0.3">
      <c r="A3" s="7" t="s">
        <v>75</v>
      </c>
      <c r="B3" s="151" t="s">
        <v>76</v>
      </c>
      <c r="C3" s="151"/>
      <c r="D3" s="151"/>
      <c r="E3" s="151"/>
      <c r="F3" s="7" t="s">
        <v>77</v>
      </c>
      <c r="G3" s="145" t="s">
        <v>78</v>
      </c>
      <c r="H3" s="146"/>
      <c r="I3" s="147"/>
    </row>
    <row r="4" spans="1:9" ht="24" x14ac:dyDescent="0.3">
      <c r="A4" s="7" t="s">
        <v>79</v>
      </c>
      <c r="B4" s="151" t="s">
        <v>80</v>
      </c>
      <c r="C4" s="151"/>
      <c r="D4" s="151"/>
      <c r="E4" s="151"/>
      <c r="F4" s="7" t="s">
        <v>81</v>
      </c>
      <c r="G4" s="145" t="s">
        <v>82</v>
      </c>
      <c r="H4" s="146"/>
      <c r="I4" s="147"/>
    </row>
    <row r="5" spans="1:9" ht="30" customHeight="1" x14ac:dyDescent="0.3">
      <c r="A5" s="7" t="s">
        <v>83</v>
      </c>
      <c r="B5" s="151" t="s">
        <v>84</v>
      </c>
      <c r="C5" s="151"/>
      <c r="D5" s="151"/>
      <c r="E5" s="151"/>
      <c r="F5" s="7" t="s">
        <v>85</v>
      </c>
      <c r="G5" s="145" t="s">
        <v>86</v>
      </c>
      <c r="H5" s="146"/>
      <c r="I5" s="147"/>
    </row>
    <row r="6" spans="1:9" ht="24" x14ac:dyDescent="0.3">
      <c r="A6" s="7" t="s">
        <v>87</v>
      </c>
      <c r="B6" s="151" t="s">
        <v>88</v>
      </c>
      <c r="C6" s="151"/>
      <c r="D6" s="151"/>
      <c r="E6" s="151"/>
      <c r="F6" s="7" t="s">
        <v>89</v>
      </c>
      <c r="G6" s="145" t="s">
        <v>197</v>
      </c>
      <c r="H6" s="146"/>
      <c r="I6" s="147"/>
    </row>
    <row r="7" spans="1:9" ht="24" customHeight="1" x14ac:dyDescent="0.3">
      <c r="A7" s="7" t="s">
        <v>90</v>
      </c>
      <c r="B7" s="151" t="s">
        <v>91</v>
      </c>
      <c r="C7" s="151"/>
      <c r="D7" s="151"/>
      <c r="E7" s="151"/>
      <c r="F7" s="7" t="s">
        <v>92</v>
      </c>
      <c r="G7" s="145" t="s">
        <v>93</v>
      </c>
      <c r="H7" s="146"/>
      <c r="I7" s="147"/>
    </row>
    <row r="8" spans="1:9" ht="24" x14ac:dyDescent="0.3">
      <c r="A8" s="7" t="s">
        <v>94</v>
      </c>
      <c r="B8" s="151" t="s">
        <v>95</v>
      </c>
      <c r="C8" s="151"/>
      <c r="D8" s="151"/>
      <c r="E8" s="151"/>
      <c r="F8" s="7" t="s">
        <v>96</v>
      </c>
      <c r="G8" s="145" t="s">
        <v>97</v>
      </c>
      <c r="H8" s="146"/>
      <c r="I8" s="147"/>
    </row>
    <row r="10" spans="1:9" ht="52.8" x14ac:dyDescent="0.3">
      <c r="A10" s="8" t="s">
        <v>98</v>
      </c>
      <c r="B10" s="8" t="s">
        <v>1</v>
      </c>
      <c r="C10" s="8" t="s">
        <v>99</v>
      </c>
      <c r="D10" s="8" t="s">
        <v>69</v>
      </c>
      <c r="E10" s="8" t="s">
        <v>100</v>
      </c>
      <c r="F10" s="8" t="s">
        <v>5</v>
      </c>
      <c r="G10" s="8" t="s">
        <v>101</v>
      </c>
      <c r="H10" s="8" t="s">
        <v>207</v>
      </c>
      <c r="I10" s="8" t="s">
        <v>102</v>
      </c>
    </row>
    <row r="11" spans="1:9" ht="14.4" customHeight="1" x14ac:dyDescent="0.3">
      <c r="A11" s="161" t="s">
        <v>103</v>
      </c>
      <c r="B11" s="162"/>
      <c r="C11" s="162"/>
      <c r="D11" s="162"/>
      <c r="E11" s="162"/>
      <c r="F11" s="162"/>
      <c r="G11" s="162"/>
      <c r="H11" s="162"/>
      <c r="I11" s="163"/>
    </row>
    <row r="12" spans="1:9" ht="45.6" x14ac:dyDescent="0.3">
      <c r="A12" s="9">
        <v>1</v>
      </c>
      <c r="B12" s="9" t="s">
        <v>8</v>
      </c>
      <c r="C12" s="10" t="s">
        <v>104</v>
      </c>
      <c r="D12" s="11" t="s">
        <v>105</v>
      </c>
      <c r="E12" s="12" t="s">
        <v>106</v>
      </c>
      <c r="F12" s="13" t="s">
        <v>107</v>
      </c>
      <c r="G12" s="14" t="s">
        <v>108</v>
      </c>
      <c r="H12" s="43">
        <v>7</v>
      </c>
      <c r="I12" s="15" t="s">
        <v>109</v>
      </c>
    </row>
    <row r="13" spans="1:9" ht="45.6" x14ac:dyDescent="0.3">
      <c r="A13" s="9">
        <v>2</v>
      </c>
      <c r="B13" s="9" t="s">
        <v>13</v>
      </c>
      <c r="C13" s="16" t="s">
        <v>110</v>
      </c>
      <c r="D13" s="11" t="s">
        <v>105</v>
      </c>
      <c r="E13" s="17" t="s">
        <v>111</v>
      </c>
      <c r="F13" s="13" t="s">
        <v>107</v>
      </c>
      <c r="G13" s="18" t="s">
        <v>112</v>
      </c>
      <c r="H13" s="43">
        <v>7</v>
      </c>
      <c r="I13" s="19" t="s">
        <v>109</v>
      </c>
    </row>
    <row r="14" spans="1:9" ht="45.6" x14ac:dyDescent="0.3">
      <c r="A14" s="9">
        <v>3</v>
      </c>
      <c r="B14" s="9" t="s">
        <v>16</v>
      </c>
      <c r="C14" s="10" t="s">
        <v>113</v>
      </c>
      <c r="D14" s="11" t="s">
        <v>105</v>
      </c>
      <c r="E14" s="12" t="s">
        <v>114</v>
      </c>
      <c r="F14" s="13" t="s">
        <v>107</v>
      </c>
      <c r="G14" s="14" t="s">
        <v>115</v>
      </c>
      <c r="H14" s="43">
        <v>5</v>
      </c>
      <c r="I14" s="15" t="s">
        <v>109</v>
      </c>
    </row>
    <row r="15" spans="1:9" ht="57" x14ac:dyDescent="0.3">
      <c r="A15" s="9">
        <v>4</v>
      </c>
      <c r="B15" s="9" t="s">
        <v>19</v>
      </c>
      <c r="C15" s="16" t="s">
        <v>116</v>
      </c>
      <c r="D15" s="11" t="s">
        <v>105</v>
      </c>
      <c r="E15" s="17" t="s">
        <v>117</v>
      </c>
      <c r="F15" s="13" t="s">
        <v>107</v>
      </c>
      <c r="G15" s="18" t="s">
        <v>118</v>
      </c>
      <c r="H15" s="43">
        <v>6</v>
      </c>
      <c r="I15" s="19" t="s">
        <v>109</v>
      </c>
    </row>
    <row r="16" spans="1:9" ht="57" x14ac:dyDescent="0.3">
      <c r="A16" s="9">
        <v>5</v>
      </c>
      <c r="B16" s="9" t="s">
        <v>21</v>
      </c>
      <c r="C16" s="10" t="s">
        <v>119</v>
      </c>
      <c r="D16" s="11" t="s">
        <v>105</v>
      </c>
      <c r="E16" s="12" t="s">
        <v>120</v>
      </c>
      <c r="F16" s="13" t="s">
        <v>107</v>
      </c>
      <c r="G16" s="14" t="s">
        <v>121</v>
      </c>
      <c r="H16" s="43">
        <v>5</v>
      </c>
      <c r="I16" s="15" t="s">
        <v>109</v>
      </c>
    </row>
    <row r="17" spans="1:9" ht="45.6" x14ac:dyDescent="0.3">
      <c r="A17" s="9">
        <v>6</v>
      </c>
      <c r="B17" s="9" t="s">
        <v>24</v>
      </c>
      <c r="C17" s="16" t="s">
        <v>122</v>
      </c>
      <c r="D17" s="11" t="s">
        <v>105</v>
      </c>
      <c r="E17" s="17" t="s">
        <v>123</v>
      </c>
      <c r="F17" s="13" t="s">
        <v>107</v>
      </c>
      <c r="G17" s="18" t="s">
        <v>124</v>
      </c>
      <c r="H17" s="43">
        <v>2</v>
      </c>
      <c r="I17" s="19" t="s">
        <v>109</v>
      </c>
    </row>
    <row r="18" spans="1:9" ht="68.400000000000006" x14ac:dyDescent="0.3">
      <c r="A18" s="9">
        <v>7</v>
      </c>
      <c r="B18" s="9" t="s">
        <v>27</v>
      </c>
      <c r="C18" s="10" t="s">
        <v>125</v>
      </c>
      <c r="D18" s="11" t="s">
        <v>105</v>
      </c>
      <c r="E18" s="12" t="s">
        <v>126</v>
      </c>
      <c r="F18" s="13" t="s">
        <v>107</v>
      </c>
      <c r="G18" s="14" t="s">
        <v>127</v>
      </c>
      <c r="H18" s="43">
        <v>14</v>
      </c>
      <c r="I18" s="20" t="s">
        <v>202</v>
      </c>
    </row>
    <row r="19" spans="1:9" ht="57" x14ac:dyDescent="0.3">
      <c r="A19" s="9">
        <v>8</v>
      </c>
      <c r="B19" s="9" t="s">
        <v>31</v>
      </c>
      <c r="C19" s="16" t="s">
        <v>128</v>
      </c>
      <c r="D19" s="11" t="s">
        <v>105</v>
      </c>
      <c r="E19" s="17" t="s">
        <v>129</v>
      </c>
      <c r="F19" s="13" t="s">
        <v>107</v>
      </c>
      <c r="G19" s="18" t="s">
        <v>130</v>
      </c>
      <c r="H19" s="43">
        <v>4</v>
      </c>
      <c r="I19" s="19" t="s">
        <v>109</v>
      </c>
    </row>
    <row r="20" spans="1:9" ht="45.6" x14ac:dyDescent="0.3">
      <c r="A20" s="9">
        <v>9</v>
      </c>
      <c r="B20" s="9" t="s">
        <v>53</v>
      </c>
      <c r="C20" s="10" t="s">
        <v>131</v>
      </c>
      <c r="D20" s="11" t="s">
        <v>105</v>
      </c>
      <c r="E20" s="12" t="s">
        <v>132</v>
      </c>
      <c r="F20" s="13" t="s">
        <v>107</v>
      </c>
      <c r="G20" s="14" t="s">
        <v>108</v>
      </c>
      <c r="H20" s="43">
        <v>6</v>
      </c>
      <c r="I20" s="15" t="s">
        <v>109</v>
      </c>
    </row>
    <row r="21" spans="1:9" ht="57" x14ac:dyDescent="0.3">
      <c r="A21" s="9">
        <v>10</v>
      </c>
      <c r="B21" s="9" t="s">
        <v>133</v>
      </c>
      <c r="C21" s="16" t="s">
        <v>134</v>
      </c>
      <c r="D21" s="11" t="s">
        <v>105</v>
      </c>
      <c r="E21" s="17" t="s">
        <v>135</v>
      </c>
      <c r="F21" s="13" t="s">
        <v>107</v>
      </c>
      <c r="G21" s="18" t="s">
        <v>136</v>
      </c>
      <c r="H21" s="43">
        <v>7</v>
      </c>
      <c r="I21" s="19" t="s">
        <v>109</v>
      </c>
    </row>
    <row r="22" spans="1:9" ht="57" x14ac:dyDescent="0.3">
      <c r="A22" s="9">
        <v>11</v>
      </c>
      <c r="B22" s="9" t="s">
        <v>33</v>
      </c>
      <c r="C22" s="10" t="s">
        <v>137</v>
      </c>
      <c r="D22" s="11" t="s">
        <v>105</v>
      </c>
      <c r="E22" s="12" t="s">
        <v>138</v>
      </c>
      <c r="F22" s="21" t="s">
        <v>139</v>
      </c>
      <c r="G22" s="14" t="s">
        <v>136</v>
      </c>
      <c r="H22" s="43">
        <v>3</v>
      </c>
      <c r="I22" s="15" t="s">
        <v>109</v>
      </c>
    </row>
    <row r="23" spans="1:9" ht="57" x14ac:dyDescent="0.3">
      <c r="A23" s="9">
        <v>12</v>
      </c>
      <c r="B23" s="9" t="s">
        <v>37</v>
      </c>
      <c r="C23" s="16" t="s">
        <v>140</v>
      </c>
      <c r="D23" s="11" t="s">
        <v>105</v>
      </c>
      <c r="E23" s="17" t="s">
        <v>141</v>
      </c>
      <c r="F23" s="13" t="s">
        <v>107</v>
      </c>
      <c r="G23" s="18" t="s">
        <v>142</v>
      </c>
      <c r="H23" s="43">
        <v>10</v>
      </c>
      <c r="I23" s="19" t="s">
        <v>109</v>
      </c>
    </row>
    <row r="24" spans="1:9" ht="68.400000000000006" x14ac:dyDescent="0.3">
      <c r="A24" s="9">
        <v>13</v>
      </c>
      <c r="B24" s="9" t="s">
        <v>143</v>
      </c>
      <c r="C24" s="10" t="s">
        <v>144</v>
      </c>
      <c r="D24" s="11" t="s">
        <v>105</v>
      </c>
      <c r="E24" s="12" t="s">
        <v>145</v>
      </c>
      <c r="F24" s="21" t="s">
        <v>139</v>
      </c>
      <c r="G24" s="14" t="s">
        <v>146</v>
      </c>
      <c r="H24" s="43">
        <v>5</v>
      </c>
      <c r="I24" s="22" t="s">
        <v>201</v>
      </c>
    </row>
    <row r="25" spans="1:9" ht="57" x14ac:dyDescent="0.3">
      <c r="A25" s="9">
        <v>14</v>
      </c>
      <c r="B25" s="9" t="s">
        <v>147</v>
      </c>
      <c r="C25" s="16" t="s">
        <v>148</v>
      </c>
      <c r="D25" s="11" t="s">
        <v>105</v>
      </c>
      <c r="E25" s="17" t="s">
        <v>149</v>
      </c>
      <c r="F25" s="21" t="s">
        <v>139</v>
      </c>
      <c r="G25" s="18" t="s">
        <v>150</v>
      </c>
      <c r="H25" s="43">
        <v>4</v>
      </c>
      <c r="I25" s="22" t="s">
        <v>200</v>
      </c>
    </row>
    <row r="26" spans="1:9" ht="57" x14ac:dyDescent="0.3">
      <c r="A26" s="9">
        <v>15</v>
      </c>
      <c r="B26" s="9" t="s">
        <v>151</v>
      </c>
      <c r="C26" s="10" t="s">
        <v>152</v>
      </c>
      <c r="D26" s="11" t="s">
        <v>105</v>
      </c>
      <c r="E26" s="12" t="s">
        <v>153</v>
      </c>
      <c r="F26" s="13" t="s">
        <v>107</v>
      </c>
      <c r="G26" s="14" t="s">
        <v>154</v>
      </c>
      <c r="H26" s="43">
        <v>6</v>
      </c>
      <c r="I26" s="22" t="s">
        <v>198</v>
      </c>
    </row>
    <row r="27" spans="1:9" ht="57" x14ac:dyDescent="0.3">
      <c r="A27" s="9">
        <v>16</v>
      </c>
      <c r="B27" s="9" t="s">
        <v>155</v>
      </c>
      <c r="C27" s="16" t="s">
        <v>156</v>
      </c>
      <c r="D27" s="11" t="s">
        <v>105</v>
      </c>
      <c r="E27" s="17" t="s">
        <v>157</v>
      </c>
      <c r="F27" s="21" t="s">
        <v>139</v>
      </c>
      <c r="G27" s="18" t="s">
        <v>127</v>
      </c>
      <c r="H27" s="43">
        <v>8</v>
      </c>
      <c r="I27" s="22" t="s">
        <v>199</v>
      </c>
    </row>
    <row r="28" spans="1:9" ht="14.4" customHeight="1" x14ac:dyDescent="0.3">
      <c r="A28" s="157" t="s">
        <v>158</v>
      </c>
      <c r="B28" s="158"/>
      <c r="C28" s="158"/>
      <c r="D28" s="158"/>
      <c r="E28" s="158"/>
      <c r="F28" s="158"/>
      <c r="G28" s="158"/>
      <c r="H28" s="158"/>
      <c r="I28" s="158"/>
    </row>
    <row r="29" spans="1:9" ht="45.6" x14ac:dyDescent="0.3">
      <c r="A29" s="9">
        <v>17</v>
      </c>
      <c r="B29" s="9" t="s">
        <v>159</v>
      </c>
      <c r="C29" s="23" t="s">
        <v>160</v>
      </c>
      <c r="D29" s="24" t="s">
        <v>161</v>
      </c>
      <c r="E29" s="25" t="s">
        <v>162</v>
      </c>
      <c r="F29" s="13" t="s">
        <v>107</v>
      </c>
      <c r="G29" s="26" t="s">
        <v>136</v>
      </c>
      <c r="H29" s="43">
        <v>6</v>
      </c>
      <c r="I29" s="27" t="s">
        <v>109</v>
      </c>
    </row>
    <row r="30" spans="1:9" ht="79.8" x14ac:dyDescent="0.3">
      <c r="A30" s="9">
        <v>18</v>
      </c>
      <c r="B30" s="9" t="s">
        <v>163</v>
      </c>
      <c r="C30" s="28" t="s">
        <v>164</v>
      </c>
      <c r="D30" s="24" t="s">
        <v>161</v>
      </c>
      <c r="E30" s="29" t="s">
        <v>165</v>
      </c>
      <c r="F30" s="13" t="s">
        <v>107</v>
      </c>
      <c r="G30" s="30" t="s">
        <v>166</v>
      </c>
      <c r="H30" s="43">
        <v>10</v>
      </c>
      <c r="I30" s="31" t="s">
        <v>109</v>
      </c>
    </row>
    <row r="31" spans="1:9" ht="68.400000000000006" x14ac:dyDescent="0.3">
      <c r="A31" s="9">
        <v>19</v>
      </c>
      <c r="B31" s="9" t="s">
        <v>167</v>
      </c>
      <c r="C31" s="23" t="s">
        <v>168</v>
      </c>
      <c r="D31" s="24" t="s">
        <v>161</v>
      </c>
      <c r="E31" s="25" t="s">
        <v>169</v>
      </c>
      <c r="F31" s="13" t="s">
        <v>107</v>
      </c>
      <c r="G31" s="26" t="s">
        <v>170</v>
      </c>
      <c r="H31" s="43">
        <v>4</v>
      </c>
      <c r="I31" s="27" t="s">
        <v>109</v>
      </c>
    </row>
    <row r="32" spans="1:9" ht="57" x14ac:dyDescent="0.3">
      <c r="A32" s="9">
        <v>20</v>
      </c>
      <c r="B32" s="9" t="s">
        <v>171</v>
      </c>
      <c r="C32" s="28" t="s">
        <v>172</v>
      </c>
      <c r="D32" s="24" t="s">
        <v>161</v>
      </c>
      <c r="E32" s="29" t="s">
        <v>173</v>
      </c>
      <c r="F32" s="21" t="s">
        <v>139</v>
      </c>
      <c r="G32" s="30" t="s">
        <v>170</v>
      </c>
      <c r="H32" s="43">
        <v>4</v>
      </c>
      <c r="I32" s="31" t="s">
        <v>109</v>
      </c>
    </row>
    <row r="33" spans="1:9" ht="79.8" x14ac:dyDescent="0.3">
      <c r="A33" s="9">
        <v>21</v>
      </c>
      <c r="B33" s="9" t="s">
        <v>50</v>
      </c>
      <c r="C33" s="23" t="s">
        <v>174</v>
      </c>
      <c r="D33" s="24" t="s">
        <v>161</v>
      </c>
      <c r="E33" s="25" t="s">
        <v>175</v>
      </c>
      <c r="F33" s="21" t="s">
        <v>139</v>
      </c>
      <c r="G33" s="26" t="s">
        <v>154</v>
      </c>
      <c r="H33" s="43">
        <v>6</v>
      </c>
      <c r="I33" s="27" t="s">
        <v>109</v>
      </c>
    </row>
    <row r="34" spans="1:9" ht="68.400000000000006" x14ac:dyDescent="0.3">
      <c r="A34" s="9">
        <v>22</v>
      </c>
      <c r="B34" s="9" t="s">
        <v>176</v>
      </c>
      <c r="C34" s="28" t="s">
        <v>177</v>
      </c>
      <c r="D34" s="24" t="s">
        <v>161</v>
      </c>
      <c r="E34" s="29" t="s">
        <v>178</v>
      </c>
      <c r="F34" s="13" t="s">
        <v>107</v>
      </c>
      <c r="G34" s="30" t="s">
        <v>142</v>
      </c>
      <c r="H34" s="43">
        <v>5</v>
      </c>
      <c r="I34" s="31" t="s">
        <v>109</v>
      </c>
    </row>
    <row r="35" spans="1:9" ht="14.4" customHeight="1" x14ac:dyDescent="0.3">
      <c r="A35" s="159" t="s">
        <v>179</v>
      </c>
      <c r="B35" s="160"/>
      <c r="C35" s="160"/>
      <c r="D35" s="160"/>
      <c r="E35" s="160"/>
      <c r="F35" s="160"/>
      <c r="G35" s="160"/>
      <c r="H35" s="160"/>
      <c r="I35" s="160"/>
    </row>
    <row r="36" spans="1:9" ht="57" x14ac:dyDescent="0.3">
      <c r="A36" s="9">
        <v>23</v>
      </c>
      <c r="B36" s="9" t="s">
        <v>180</v>
      </c>
      <c r="C36" s="32" t="s">
        <v>181</v>
      </c>
      <c r="D36" s="33" t="s">
        <v>182</v>
      </c>
      <c r="E36" s="34" t="s">
        <v>183</v>
      </c>
      <c r="F36" s="13" t="s">
        <v>107</v>
      </c>
      <c r="G36" s="35" t="s">
        <v>108</v>
      </c>
      <c r="H36" s="36">
        <v>0</v>
      </c>
      <c r="I36" s="37" t="s">
        <v>109</v>
      </c>
    </row>
    <row r="37" spans="1:9" ht="57" x14ac:dyDescent="0.3">
      <c r="A37" s="9">
        <v>24</v>
      </c>
      <c r="B37" s="9" t="s">
        <v>184</v>
      </c>
      <c r="C37" s="38" t="s">
        <v>185</v>
      </c>
      <c r="D37" s="33" t="s">
        <v>182</v>
      </c>
      <c r="E37" s="39" t="s">
        <v>186</v>
      </c>
      <c r="F37" s="13" t="s">
        <v>107</v>
      </c>
      <c r="G37" s="40" t="s">
        <v>170</v>
      </c>
      <c r="H37" s="41">
        <v>0</v>
      </c>
      <c r="I37" s="42" t="s">
        <v>109</v>
      </c>
    </row>
    <row r="38" spans="1:9" ht="45.6" x14ac:dyDescent="0.3">
      <c r="A38" s="9">
        <v>25</v>
      </c>
      <c r="B38" s="9" t="s">
        <v>187</v>
      </c>
      <c r="C38" s="32" t="s">
        <v>188</v>
      </c>
      <c r="D38" s="33" t="s">
        <v>182</v>
      </c>
      <c r="E38" s="34" t="s">
        <v>189</v>
      </c>
      <c r="F38" s="13" t="s">
        <v>107</v>
      </c>
      <c r="G38" s="35" t="s">
        <v>136</v>
      </c>
      <c r="H38" s="36">
        <v>0</v>
      </c>
      <c r="I38" s="37" t="s">
        <v>109</v>
      </c>
    </row>
    <row r="40" spans="1:9" x14ac:dyDescent="0.3">
      <c r="A40" s="148" t="s">
        <v>190</v>
      </c>
      <c r="B40" s="148"/>
      <c r="C40" s="148"/>
      <c r="D40" s="148"/>
      <c r="E40" s="148"/>
      <c r="F40" s="148"/>
      <c r="G40" s="148"/>
      <c r="H40" s="148"/>
      <c r="I40" s="148"/>
    </row>
    <row r="41" spans="1:9" x14ac:dyDescent="0.3">
      <c r="A41" s="149" t="s">
        <v>203</v>
      </c>
      <c r="B41" s="149"/>
      <c r="C41" s="150" t="s">
        <v>191</v>
      </c>
      <c r="D41" s="150"/>
      <c r="E41" s="150"/>
      <c r="F41" s="150"/>
      <c r="G41" s="150"/>
      <c r="H41" s="150"/>
      <c r="I41" s="150"/>
    </row>
    <row r="42" spans="1:9" x14ac:dyDescent="0.3">
      <c r="A42" s="152" t="s">
        <v>204</v>
      </c>
      <c r="B42" s="152"/>
      <c r="C42" s="150" t="s">
        <v>192</v>
      </c>
      <c r="D42" s="150"/>
      <c r="E42" s="150"/>
      <c r="F42" s="150"/>
      <c r="G42" s="150"/>
      <c r="H42" s="150"/>
      <c r="I42" s="150"/>
    </row>
    <row r="43" spans="1:9" x14ac:dyDescent="0.3">
      <c r="A43" s="153" t="s">
        <v>109</v>
      </c>
      <c r="B43" s="153"/>
      <c r="C43" s="150" t="s">
        <v>193</v>
      </c>
      <c r="D43" s="150"/>
      <c r="E43" s="150"/>
      <c r="F43" s="150"/>
      <c r="G43" s="150"/>
      <c r="H43" s="150"/>
      <c r="I43" s="150"/>
    </row>
    <row r="44" spans="1:9" x14ac:dyDescent="0.3">
      <c r="A44" s="154" t="s">
        <v>107</v>
      </c>
      <c r="B44" s="154"/>
      <c r="C44" s="150" t="s">
        <v>194</v>
      </c>
      <c r="D44" s="150"/>
      <c r="E44" s="150"/>
      <c r="F44" s="150"/>
      <c r="G44" s="150"/>
      <c r="H44" s="150"/>
      <c r="I44" s="150"/>
    </row>
    <row r="45" spans="1:9" x14ac:dyDescent="0.3">
      <c r="A45" s="155" t="s">
        <v>139</v>
      </c>
      <c r="B45" s="155"/>
      <c r="C45" s="150" t="s">
        <v>195</v>
      </c>
      <c r="D45" s="150"/>
      <c r="E45" s="150"/>
      <c r="F45" s="150"/>
      <c r="G45" s="150"/>
      <c r="H45" s="150"/>
      <c r="I45" s="150"/>
    </row>
  </sheetData>
  <mergeCells count="29">
    <mergeCell ref="A45:B45"/>
    <mergeCell ref="C45:I45"/>
    <mergeCell ref="A1:I1"/>
    <mergeCell ref="A28:I28"/>
    <mergeCell ref="A35:I35"/>
    <mergeCell ref="G8:I8"/>
    <mergeCell ref="G7:I7"/>
    <mergeCell ref="G6:I6"/>
    <mergeCell ref="G5:I5"/>
    <mergeCell ref="B7:E7"/>
    <mergeCell ref="B8:E8"/>
    <mergeCell ref="A11:I11"/>
    <mergeCell ref="B4:E4"/>
    <mergeCell ref="B5:E5"/>
    <mergeCell ref="B6:E6"/>
    <mergeCell ref="G4:I4"/>
    <mergeCell ref="A42:B42"/>
    <mergeCell ref="C42:I42"/>
    <mergeCell ref="A43:B43"/>
    <mergeCell ref="C43:I43"/>
    <mergeCell ref="A44:B44"/>
    <mergeCell ref="C44:I44"/>
    <mergeCell ref="G3:I3"/>
    <mergeCell ref="G2:I2"/>
    <mergeCell ref="A40:I40"/>
    <mergeCell ref="A41:B41"/>
    <mergeCell ref="C41:I41"/>
    <mergeCell ref="B2:E2"/>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949-F99A-485C-A359-1A7E0BEABCB7}">
  <sheetPr>
    <tabColor theme="4" tint="0.59999389629810485"/>
  </sheetPr>
  <dimension ref="A1:G15"/>
  <sheetViews>
    <sheetView topLeftCell="A8" zoomScale="70" zoomScaleNormal="70" workbookViewId="0">
      <selection activeCell="B14" sqref="B14"/>
    </sheetView>
  </sheetViews>
  <sheetFormatPr baseColWidth="10" defaultRowHeight="14.4" x14ac:dyDescent="0.3"/>
  <cols>
    <col min="2" max="2" width="56.6640625" customWidth="1"/>
    <col min="3" max="3" width="60.5546875" customWidth="1"/>
  </cols>
  <sheetData>
    <row r="1" spans="1:7" ht="17.399999999999999" x14ac:dyDescent="0.3">
      <c r="A1" s="164" t="s">
        <v>0</v>
      </c>
      <c r="B1" s="164"/>
      <c r="C1" s="164"/>
      <c r="D1" s="164"/>
      <c r="E1" s="164"/>
      <c r="F1" s="164"/>
      <c r="G1" s="164"/>
    </row>
    <row r="2" spans="1:7" ht="26.4" x14ac:dyDescent="0.3">
      <c r="A2" s="1" t="s">
        <v>1</v>
      </c>
      <c r="B2" s="1" t="s">
        <v>2</v>
      </c>
      <c r="C2" s="1" t="s">
        <v>3</v>
      </c>
      <c r="D2" s="1" t="s">
        <v>4</v>
      </c>
      <c r="E2" s="1" t="s">
        <v>5</v>
      </c>
      <c r="F2" s="1" t="s">
        <v>208</v>
      </c>
      <c r="G2" s="1" t="s">
        <v>6</v>
      </c>
    </row>
    <row r="3" spans="1:7" ht="66.599999999999994" customHeight="1" x14ac:dyDescent="0.3">
      <c r="A3" s="2" t="s">
        <v>7</v>
      </c>
      <c r="B3" s="3" t="s">
        <v>269</v>
      </c>
      <c r="C3" s="3" t="s">
        <v>279</v>
      </c>
      <c r="D3" s="2" t="s">
        <v>8</v>
      </c>
      <c r="E3" s="2" t="s">
        <v>9</v>
      </c>
      <c r="F3" s="43">
        <v>8</v>
      </c>
      <c r="G3" s="61" t="s">
        <v>237</v>
      </c>
    </row>
    <row r="4" spans="1:7" ht="63.6" customHeight="1" x14ac:dyDescent="0.3">
      <c r="A4" s="4" t="s">
        <v>11</v>
      </c>
      <c r="B4" s="5" t="s">
        <v>12</v>
      </c>
      <c r="C4" s="44" t="s">
        <v>280</v>
      </c>
      <c r="D4" s="4" t="s">
        <v>13</v>
      </c>
      <c r="E4" s="4" t="s">
        <v>9</v>
      </c>
      <c r="F4" s="43">
        <v>7</v>
      </c>
      <c r="G4" s="61" t="s">
        <v>237</v>
      </c>
    </row>
    <row r="5" spans="1:7" ht="79.8" customHeight="1" x14ac:dyDescent="0.3">
      <c r="A5" s="2" t="s">
        <v>14</v>
      </c>
      <c r="B5" s="3" t="s">
        <v>15</v>
      </c>
      <c r="C5" s="45" t="s">
        <v>209</v>
      </c>
      <c r="D5" s="2" t="s">
        <v>16</v>
      </c>
      <c r="E5" s="2" t="s">
        <v>9</v>
      </c>
      <c r="F5" s="43">
        <v>4</v>
      </c>
      <c r="G5" s="61" t="s">
        <v>42</v>
      </c>
    </row>
    <row r="6" spans="1:7" ht="72" customHeight="1" x14ac:dyDescent="0.3">
      <c r="A6" s="4" t="s">
        <v>17</v>
      </c>
      <c r="B6" s="5" t="s">
        <v>18</v>
      </c>
      <c r="C6" s="44" t="s">
        <v>281</v>
      </c>
      <c r="D6" s="4" t="s">
        <v>19</v>
      </c>
      <c r="E6" s="4" t="s">
        <v>9</v>
      </c>
      <c r="F6" s="43">
        <v>5</v>
      </c>
      <c r="G6" s="61" t="s">
        <v>42</v>
      </c>
    </row>
    <row r="7" spans="1:7" ht="62.4" customHeight="1" x14ac:dyDescent="0.3">
      <c r="A7" s="89" t="s">
        <v>20</v>
      </c>
      <c r="B7" s="5" t="s">
        <v>23</v>
      </c>
      <c r="C7" s="44" t="s">
        <v>282</v>
      </c>
      <c r="D7" s="4" t="s">
        <v>24</v>
      </c>
      <c r="E7" s="4" t="s">
        <v>9</v>
      </c>
      <c r="F7" s="43">
        <v>2</v>
      </c>
      <c r="G7" s="61" t="s">
        <v>42</v>
      </c>
    </row>
    <row r="8" spans="1:7" ht="72" customHeight="1" x14ac:dyDescent="0.3">
      <c r="A8" s="102" t="s">
        <v>22</v>
      </c>
      <c r="B8" s="3" t="s">
        <v>26</v>
      </c>
      <c r="C8" s="45" t="s">
        <v>283</v>
      </c>
      <c r="D8" s="2" t="s">
        <v>27</v>
      </c>
      <c r="E8" s="2" t="s">
        <v>9</v>
      </c>
      <c r="F8" s="43">
        <v>5</v>
      </c>
      <c r="G8" s="62" t="s">
        <v>55</v>
      </c>
    </row>
    <row r="9" spans="1:7" ht="59.4" customHeight="1" x14ac:dyDescent="0.3">
      <c r="A9" s="89" t="s">
        <v>25</v>
      </c>
      <c r="B9" s="5" t="s">
        <v>30</v>
      </c>
      <c r="C9" s="96" t="s">
        <v>284</v>
      </c>
      <c r="D9" s="4" t="s">
        <v>31</v>
      </c>
      <c r="E9" s="4" t="s">
        <v>9</v>
      </c>
      <c r="F9" s="43">
        <v>3</v>
      </c>
      <c r="G9" s="62" t="s">
        <v>55</v>
      </c>
    </row>
    <row r="10" spans="1:7" ht="139.80000000000001" customHeight="1" x14ac:dyDescent="0.3">
      <c r="A10" s="102" t="s">
        <v>29</v>
      </c>
      <c r="B10" s="3" t="s">
        <v>347</v>
      </c>
      <c r="C10" s="95" t="s">
        <v>348</v>
      </c>
      <c r="D10" s="2" t="s">
        <v>33</v>
      </c>
      <c r="E10" s="2" t="s">
        <v>34</v>
      </c>
      <c r="F10" s="43">
        <v>5</v>
      </c>
      <c r="G10" s="97" t="s">
        <v>28</v>
      </c>
    </row>
    <row r="11" spans="1:7" ht="68.400000000000006" customHeight="1" x14ac:dyDescent="0.3">
      <c r="A11" s="89" t="s">
        <v>32</v>
      </c>
      <c r="B11" s="5" t="s">
        <v>36</v>
      </c>
      <c r="C11" s="44" t="s">
        <v>210</v>
      </c>
      <c r="D11" s="4" t="s">
        <v>37</v>
      </c>
      <c r="E11" s="4" t="s">
        <v>9</v>
      </c>
      <c r="F11" s="43">
        <v>3</v>
      </c>
      <c r="G11" s="61" t="s">
        <v>42</v>
      </c>
    </row>
    <row r="12" spans="1:7" ht="79.8" customHeight="1" x14ac:dyDescent="0.3">
      <c r="A12" s="102" t="s">
        <v>35</v>
      </c>
      <c r="B12" s="3" t="s">
        <v>39</v>
      </c>
      <c r="C12" s="45" t="s">
        <v>285</v>
      </c>
      <c r="D12" s="2" t="s">
        <v>143</v>
      </c>
      <c r="E12" s="2" t="s">
        <v>34</v>
      </c>
      <c r="F12" s="43">
        <v>4</v>
      </c>
      <c r="G12" s="62" t="s">
        <v>237</v>
      </c>
    </row>
    <row r="13" spans="1:7" ht="74.400000000000006" customHeight="1" x14ac:dyDescent="0.3">
      <c r="A13" s="89" t="s">
        <v>38</v>
      </c>
      <c r="B13" s="5" t="s">
        <v>41</v>
      </c>
      <c r="C13" s="44" t="s">
        <v>211</v>
      </c>
      <c r="D13" s="4" t="s">
        <v>155</v>
      </c>
      <c r="E13" s="4" t="s">
        <v>34</v>
      </c>
      <c r="F13" s="43">
        <v>2</v>
      </c>
      <c r="G13" s="62" t="s">
        <v>28</v>
      </c>
    </row>
    <row r="14" spans="1:7" ht="109.2" customHeight="1" x14ac:dyDescent="0.3">
      <c r="A14" s="79" t="s">
        <v>40</v>
      </c>
      <c r="B14" s="78" t="s">
        <v>286</v>
      </c>
      <c r="C14" s="78" t="s">
        <v>355</v>
      </c>
      <c r="D14" s="80" t="s">
        <v>8</v>
      </c>
      <c r="E14" s="81" t="s">
        <v>34</v>
      </c>
      <c r="F14" s="83">
        <v>4</v>
      </c>
      <c r="G14" s="82" t="s">
        <v>28</v>
      </c>
    </row>
    <row r="15" spans="1:7" ht="24" customHeight="1" x14ac:dyDescent="0.3">
      <c r="A15" s="165" t="s">
        <v>43</v>
      </c>
      <c r="B15" s="166"/>
      <c r="C15" s="166"/>
      <c r="D15" s="166"/>
      <c r="E15" s="166"/>
      <c r="F15" s="99">
        <f>SUM(F3:F14)</f>
        <v>52</v>
      </c>
      <c r="G15" s="99"/>
    </row>
  </sheetData>
  <mergeCells count="2">
    <mergeCell ref="A1:G1"/>
    <mergeCell ref="A15:E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5EF5-CAB0-478B-9118-C31BCD04102D}">
  <sheetPr>
    <tabColor theme="6" tint="0.59999389629810485"/>
  </sheetPr>
  <dimension ref="A1:H20"/>
  <sheetViews>
    <sheetView topLeftCell="A7" zoomScale="85" zoomScaleNormal="85" workbookViewId="0">
      <selection activeCell="F10" sqref="F10"/>
    </sheetView>
  </sheetViews>
  <sheetFormatPr baseColWidth="10" defaultRowHeight="14.4" x14ac:dyDescent="0.3"/>
  <cols>
    <col min="2" max="2" width="56.5546875" customWidth="1"/>
    <col min="3" max="3" width="55.77734375" customWidth="1"/>
  </cols>
  <sheetData>
    <row r="1" spans="1:8" ht="17.399999999999999" customHeight="1" x14ac:dyDescent="0.3">
      <c r="A1" s="143" t="s">
        <v>44</v>
      </c>
      <c r="B1" s="143"/>
      <c r="C1" s="143"/>
      <c r="D1" s="143"/>
      <c r="E1" s="143"/>
      <c r="F1" s="143"/>
      <c r="G1" s="143"/>
      <c r="H1" s="143"/>
    </row>
    <row r="2" spans="1:8" ht="26.4" x14ac:dyDescent="0.3">
      <c r="A2" s="1" t="s">
        <v>1</v>
      </c>
      <c r="B2" s="1" t="s">
        <v>45</v>
      </c>
      <c r="C2" s="1" t="s">
        <v>46</v>
      </c>
      <c r="D2" s="1" t="s">
        <v>4</v>
      </c>
      <c r="E2" s="1" t="s">
        <v>5</v>
      </c>
      <c r="F2" s="58" t="s">
        <v>208</v>
      </c>
      <c r="G2" s="1" t="s">
        <v>6</v>
      </c>
      <c r="H2" s="58" t="s">
        <v>249</v>
      </c>
    </row>
    <row r="3" spans="1:8" ht="90.6" customHeight="1" x14ac:dyDescent="0.3">
      <c r="A3" s="88" t="s">
        <v>47</v>
      </c>
      <c r="B3" s="59" t="s">
        <v>212</v>
      </c>
      <c r="C3" s="59" t="s">
        <v>291</v>
      </c>
      <c r="D3" s="46" t="s">
        <v>48</v>
      </c>
      <c r="E3" s="48" t="s">
        <v>9</v>
      </c>
      <c r="F3" s="63">
        <v>4</v>
      </c>
      <c r="G3" s="64" t="s">
        <v>234</v>
      </c>
      <c r="H3" s="49" t="s">
        <v>97</v>
      </c>
    </row>
    <row r="4" spans="1:8" ht="90" customHeight="1" x14ac:dyDescent="0.3">
      <c r="A4" s="88" t="s">
        <v>49</v>
      </c>
      <c r="B4" s="60" t="s">
        <v>213</v>
      </c>
      <c r="C4" s="60" t="s">
        <v>292</v>
      </c>
      <c r="D4" s="47" t="s">
        <v>227</v>
      </c>
      <c r="E4" s="89" t="s">
        <v>9</v>
      </c>
      <c r="F4" s="63">
        <v>6</v>
      </c>
      <c r="G4" s="65" t="s">
        <v>234</v>
      </c>
      <c r="H4" s="50" t="s">
        <v>240</v>
      </c>
    </row>
    <row r="5" spans="1:8" ht="78" customHeight="1" x14ac:dyDescent="0.3">
      <c r="A5" s="88" t="s">
        <v>52</v>
      </c>
      <c r="B5" s="59" t="s">
        <v>214</v>
      </c>
      <c r="C5" s="59" t="s">
        <v>293</v>
      </c>
      <c r="D5" s="46" t="s">
        <v>50</v>
      </c>
      <c r="E5" s="48" t="s">
        <v>9</v>
      </c>
      <c r="F5" s="63">
        <v>5</v>
      </c>
      <c r="G5" s="66" t="s">
        <v>51</v>
      </c>
      <c r="H5" s="51" t="s">
        <v>241</v>
      </c>
    </row>
    <row r="6" spans="1:8" ht="67.2" customHeight="1" x14ac:dyDescent="0.3">
      <c r="A6" s="88" t="s">
        <v>54</v>
      </c>
      <c r="B6" s="60" t="s">
        <v>215</v>
      </c>
      <c r="C6" s="60" t="s">
        <v>294</v>
      </c>
      <c r="D6" s="47" t="s">
        <v>228</v>
      </c>
      <c r="E6" s="89" t="s">
        <v>9</v>
      </c>
      <c r="F6" s="63">
        <v>5</v>
      </c>
      <c r="G6" s="66" t="s">
        <v>51</v>
      </c>
      <c r="H6" s="51" t="s">
        <v>241</v>
      </c>
    </row>
    <row r="7" spans="1:8" ht="101.4" customHeight="1" x14ac:dyDescent="0.3">
      <c r="A7" s="88" t="s">
        <v>56</v>
      </c>
      <c r="B7" s="59" t="s">
        <v>216</v>
      </c>
      <c r="C7" s="59" t="s">
        <v>295</v>
      </c>
      <c r="D7" s="46" t="s">
        <v>61</v>
      </c>
      <c r="E7" s="48" t="s">
        <v>9</v>
      </c>
      <c r="F7" s="63">
        <v>11</v>
      </c>
      <c r="G7" s="67" t="s">
        <v>236</v>
      </c>
      <c r="H7" s="52" t="s">
        <v>242</v>
      </c>
    </row>
    <row r="8" spans="1:8" ht="117" customHeight="1" x14ac:dyDescent="0.3">
      <c r="A8" s="88" t="s">
        <v>57</v>
      </c>
      <c r="B8" s="60" t="s">
        <v>363</v>
      </c>
      <c r="C8" s="60" t="s">
        <v>364</v>
      </c>
      <c r="D8" s="47" t="s">
        <v>296</v>
      </c>
      <c r="E8" s="89" t="s">
        <v>9</v>
      </c>
      <c r="F8" s="63">
        <v>11</v>
      </c>
      <c r="G8" s="68" t="s">
        <v>237</v>
      </c>
      <c r="H8" s="53" t="s">
        <v>243</v>
      </c>
    </row>
    <row r="9" spans="1:8" ht="88.8" customHeight="1" x14ac:dyDescent="0.3">
      <c r="A9" s="88" t="s">
        <v>58</v>
      </c>
      <c r="B9" s="59" t="s">
        <v>217</v>
      </c>
      <c r="C9" s="59" t="s">
        <v>297</v>
      </c>
      <c r="D9" s="46" t="s">
        <v>229</v>
      </c>
      <c r="E9" s="48" t="s">
        <v>9</v>
      </c>
      <c r="F9" s="63">
        <v>4</v>
      </c>
      <c r="G9" s="69" t="s">
        <v>28</v>
      </c>
      <c r="H9" s="54" t="s">
        <v>244</v>
      </c>
    </row>
    <row r="10" spans="1:8" ht="79.2" customHeight="1" x14ac:dyDescent="0.3">
      <c r="A10" s="88" t="s">
        <v>60</v>
      </c>
      <c r="B10" s="60" t="s">
        <v>298</v>
      </c>
      <c r="C10" s="60" t="s">
        <v>299</v>
      </c>
      <c r="D10" s="47" t="s">
        <v>230</v>
      </c>
      <c r="E10" s="89" t="s">
        <v>9</v>
      </c>
      <c r="F10" s="63">
        <v>6</v>
      </c>
      <c r="G10" s="70" t="s">
        <v>55</v>
      </c>
      <c r="H10" s="55" t="s">
        <v>245</v>
      </c>
    </row>
    <row r="11" spans="1:8" ht="66" customHeight="1" x14ac:dyDescent="0.3">
      <c r="A11" s="88" t="s">
        <v>62</v>
      </c>
      <c r="B11" s="59" t="s">
        <v>218</v>
      </c>
      <c r="C11" s="59" t="s">
        <v>300</v>
      </c>
      <c r="D11" s="46" t="s">
        <v>231</v>
      </c>
      <c r="E11" s="48" t="s">
        <v>9</v>
      </c>
      <c r="F11" s="63">
        <v>5</v>
      </c>
      <c r="G11" s="70" t="s">
        <v>55</v>
      </c>
      <c r="H11" s="55" t="s">
        <v>245</v>
      </c>
    </row>
    <row r="12" spans="1:8" ht="99.6" customHeight="1" x14ac:dyDescent="0.3">
      <c r="A12" s="88" t="s">
        <v>63</v>
      </c>
      <c r="B12" s="60" t="s">
        <v>344</v>
      </c>
      <c r="C12" s="60" t="s">
        <v>345</v>
      </c>
      <c r="D12" s="47" t="s">
        <v>59</v>
      </c>
      <c r="E12" s="48" t="s">
        <v>9</v>
      </c>
      <c r="F12" s="63">
        <v>5</v>
      </c>
      <c r="G12" s="71" t="s">
        <v>10</v>
      </c>
      <c r="H12" s="56" t="s">
        <v>246</v>
      </c>
    </row>
    <row r="13" spans="1:8" ht="83.4" customHeight="1" x14ac:dyDescent="0.3">
      <c r="A13" s="88" t="s">
        <v>65</v>
      </c>
      <c r="B13" s="59" t="s">
        <v>301</v>
      </c>
      <c r="C13" s="59" t="s">
        <v>302</v>
      </c>
      <c r="D13" s="46" t="s">
        <v>232</v>
      </c>
      <c r="E13" s="48" t="s">
        <v>9</v>
      </c>
      <c r="F13" s="63">
        <v>5</v>
      </c>
      <c r="G13" s="71" t="s">
        <v>238</v>
      </c>
      <c r="H13" s="56" t="s">
        <v>246</v>
      </c>
    </row>
    <row r="14" spans="1:8" ht="83.4" customHeight="1" x14ac:dyDescent="0.3">
      <c r="A14" s="88" t="s">
        <v>219</v>
      </c>
      <c r="B14" s="60" t="s">
        <v>220</v>
      </c>
      <c r="C14" s="60" t="s">
        <v>303</v>
      </c>
      <c r="D14" s="47" t="s">
        <v>233</v>
      </c>
      <c r="E14" s="89" t="s">
        <v>9</v>
      </c>
      <c r="F14" s="63">
        <v>4</v>
      </c>
      <c r="G14" s="72" t="s">
        <v>278</v>
      </c>
      <c r="H14" s="57" t="s">
        <v>247</v>
      </c>
    </row>
    <row r="15" spans="1:8" ht="67.2" customHeight="1" x14ac:dyDescent="0.3">
      <c r="A15" s="88" t="s">
        <v>221</v>
      </c>
      <c r="B15" s="59" t="s">
        <v>222</v>
      </c>
      <c r="C15" s="59" t="s">
        <v>304</v>
      </c>
      <c r="D15" s="46" t="s">
        <v>147</v>
      </c>
      <c r="E15" s="48" t="s">
        <v>9</v>
      </c>
      <c r="F15" s="63">
        <v>2</v>
      </c>
      <c r="G15" s="72" t="s">
        <v>278</v>
      </c>
      <c r="H15" s="87">
        <v>46189</v>
      </c>
    </row>
    <row r="16" spans="1:8" ht="81.599999999999994" customHeight="1" x14ac:dyDescent="0.3">
      <c r="A16" s="88" t="s">
        <v>223</v>
      </c>
      <c r="B16" s="60" t="s">
        <v>224</v>
      </c>
      <c r="C16" s="60" t="s">
        <v>305</v>
      </c>
      <c r="D16" s="47" t="s">
        <v>66</v>
      </c>
      <c r="E16" s="89" t="s">
        <v>34</v>
      </c>
      <c r="F16" s="63">
        <v>3</v>
      </c>
      <c r="G16" s="68" t="s">
        <v>278</v>
      </c>
      <c r="H16" s="53" t="s">
        <v>248</v>
      </c>
    </row>
    <row r="17" spans="1:8" ht="72" customHeight="1" x14ac:dyDescent="0.3">
      <c r="A17" s="88" t="s">
        <v>225</v>
      </c>
      <c r="B17" s="59" t="s">
        <v>226</v>
      </c>
      <c r="C17" s="59" t="s">
        <v>306</v>
      </c>
      <c r="D17" s="46" t="s">
        <v>50</v>
      </c>
      <c r="E17" s="48" t="s">
        <v>34</v>
      </c>
      <c r="F17" s="63">
        <v>2</v>
      </c>
      <c r="G17" s="68" t="s">
        <v>278</v>
      </c>
      <c r="H17" s="53" t="s">
        <v>248</v>
      </c>
    </row>
    <row r="18" spans="1:8" ht="131.4" customHeight="1" x14ac:dyDescent="0.3">
      <c r="A18" s="86" t="s">
        <v>287</v>
      </c>
      <c r="B18" s="84" t="s">
        <v>358</v>
      </c>
      <c r="C18" s="84" t="s">
        <v>359</v>
      </c>
      <c r="D18" s="84" t="s">
        <v>289</v>
      </c>
      <c r="E18" s="74" t="s">
        <v>9</v>
      </c>
      <c r="F18" s="90">
        <v>5</v>
      </c>
      <c r="G18" s="85" t="s">
        <v>42</v>
      </c>
      <c r="H18" s="85" t="s">
        <v>244</v>
      </c>
    </row>
    <row r="19" spans="1:8" ht="115.8" customHeight="1" x14ac:dyDescent="0.3">
      <c r="A19" s="86" t="s">
        <v>288</v>
      </c>
      <c r="B19" s="84" t="s">
        <v>351</v>
      </c>
      <c r="C19" s="84" t="s">
        <v>353</v>
      </c>
      <c r="D19" s="84" t="s">
        <v>290</v>
      </c>
      <c r="E19" s="74" t="s">
        <v>9</v>
      </c>
      <c r="F19" s="90">
        <v>5</v>
      </c>
      <c r="G19" s="85" t="s">
        <v>42</v>
      </c>
      <c r="H19" s="85" t="s">
        <v>244</v>
      </c>
    </row>
    <row r="20" spans="1:8" ht="24.6" customHeight="1" x14ac:dyDescent="0.3">
      <c r="A20" s="165" t="s">
        <v>67</v>
      </c>
      <c r="B20" s="165"/>
      <c r="C20" s="165"/>
      <c r="D20" s="165"/>
      <c r="E20" s="165"/>
      <c r="F20" s="6">
        <f>SUM(F3:F19)</f>
        <v>88</v>
      </c>
      <c r="G20" s="167"/>
      <c r="H20" s="168"/>
    </row>
  </sheetData>
  <mergeCells count="3">
    <mergeCell ref="A20:E20"/>
    <mergeCell ref="A1:H1"/>
    <mergeCell ref="G20:H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112A-4544-4EDF-BC89-A1501417A049}">
  <sheetPr>
    <tabColor theme="5" tint="0.39997558519241921"/>
  </sheetPr>
  <dimension ref="A1:J49"/>
  <sheetViews>
    <sheetView tabSelected="1" topLeftCell="A21" zoomScale="70" zoomScaleNormal="70" workbookViewId="0">
      <selection activeCell="J24" sqref="J24"/>
    </sheetView>
  </sheetViews>
  <sheetFormatPr baseColWidth="10" defaultRowHeight="14.4" x14ac:dyDescent="0.3"/>
  <cols>
    <col min="2" max="2" width="36.109375" customWidth="1"/>
    <col min="3" max="3" width="10.33203125" customWidth="1"/>
    <col min="4" max="4" width="11.33203125" customWidth="1"/>
    <col min="5" max="5" width="52.21875" customWidth="1"/>
    <col min="6" max="6" width="50.44140625" customWidth="1"/>
    <col min="10" max="10" width="54.21875" customWidth="1"/>
  </cols>
  <sheetData>
    <row r="1" spans="1:10" ht="17.399999999999999" customHeight="1" x14ac:dyDescent="0.3">
      <c r="A1" s="143" t="s">
        <v>72</v>
      </c>
      <c r="B1" s="143"/>
      <c r="C1" s="143"/>
      <c r="D1" s="143"/>
      <c r="E1" s="143"/>
      <c r="F1" s="143"/>
      <c r="G1" s="143"/>
      <c r="H1" s="143"/>
      <c r="I1" s="143"/>
      <c r="J1" s="143"/>
    </row>
    <row r="2" spans="1:10" x14ac:dyDescent="0.3">
      <c r="A2" s="75" t="s">
        <v>6</v>
      </c>
      <c r="B2" s="75" t="s">
        <v>68</v>
      </c>
      <c r="C2" s="75" t="s">
        <v>69</v>
      </c>
      <c r="D2" s="75" t="s">
        <v>1</v>
      </c>
      <c r="E2" s="75" t="s">
        <v>250</v>
      </c>
      <c r="F2" s="75" t="s">
        <v>5</v>
      </c>
      <c r="G2" s="75" t="s">
        <v>239</v>
      </c>
      <c r="H2" s="75" t="s">
        <v>251</v>
      </c>
      <c r="I2" s="75" t="s">
        <v>252</v>
      </c>
      <c r="J2" s="75" t="s">
        <v>262</v>
      </c>
    </row>
    <row r="3" spans="1:10" ht="62.4" customHeight="1" x14ac:dyDescent="0.3">
      <c r="A3" s="144" t="s">
        <v>234</v>
      </c>
      <c r="B3" s="116" t="s">
        <v>263</v>
      </c>
      <c r="C3" s="94" t="s">
        <v>70</v>
      </c>
      <c r="D3" s="94" t="s">
        <v>47</v>
      </c>
      <c r="E3" s="76" t="s">
        <v>212</v>
      </c>
      <c r="F3" s="77" t="s">
        <v>9</v>
      </c>
      <c r="G3" s="144" t="s">
        <v>97</v>
      </c>
      <c r="H3" s="144" t="s">
        <v>253</v>
      </c>
      <c r="I3" s="77">
        <v>4</v>
      </c>
      <c r="J3" s="76" t="s">
        <v>261</v>
      </c>
    </row>
    <row r="4" spans="1:10" ht="53.4" customHeight="1" x14ac:dyDescent="0.3">
      <c r="A4" s="115"/>
      <c r="B4" s="118"/>
      <c r="C4" s="94" t="s">
        <v>70</v>
      </c>
      <c r="D4" s="94" t="s">
        <v>49</v>
      </c>
      <c r="E4" s="76" t="s">
        <v>213</v>
      </c>
      <c r="F4" s="77" t="s">
        <v>9</v>
      </c>
      <c r="G4" s="115"/>
      <c r="H4" s="115"/>
      <c r="I4" s="77">
        <v>6</v>
      </c>
      <c r="J4" s="76" t="s">
        <v>265</v>
      </c>
    </row>
    <row r="5" spans="1:10" ht="63" customHeight="1" x14ac:dyDescent="0.3">
      <c r="A5" s="144" t="s">
        <v>51</v>
      </c>
      <c r="B5" s="116" t="s">
        <v>264</v>
      </c>
      <c r="C5" s="94" t="s">
        <v>70</v>
      </c>
      <c r="D5" s="94" t="s">
        <v>52</v>
      </c>
      <c r="E5" s="76" t="s">
        <v>214</v>
      </c>
      <c r="F5" s="77" t="s">
        <v>9</v>
      </c>
      <c r="G5" s="144" t="s">
        <v>240</v>
      </c>
      <c r="H5" s="144" t="s">
        <v>254</v>
      </c>
      <c r="I5" s="77">
        <v>5</v>
      </c>
      <c r="J5" s="76" t="s">
        <v>266</v>
      </c>
    </row>
    <row r="6" spans="1:10" ht="61.8" customHeight="1" x14ac:dyDescent="0.3">
      <c r="A6" s="115"/>
      <c r="B6" s="118"/>
      <c r="C6" s="94" t="s">
        <v>70</v>
      </c>
      <c r="D6" s="94" t="s">
        <v>54</v>
      </c>
      <c r="E6" s="76" t="s">
        <v>215</v>
      </c>
      <c r="F6" s="77" t="s">
        <v>9</v>
      </c>
      <c r="G6" s="115"/>
      <c r="H6" s="115"/>
      <c r="I6" s="77">
        <v>5</v>
      </c>
      <c r="J6" s="76" t="s">
        <v>267</v>
      </c>
    </row>
    <row r="7" spans="1:10" ht="64.8" customHeight="1" x14ac:dyDescent="0.3">
      <c r="A7" s="144" t="s">
        <v>55</v>
      </c>
      <c r="B7" s="116" t="s">
        <v>271</v>
      </c>
      <c r="C7" s="94" t="s">
        <v>70</v>
      </c>
      <c r="D7" s="94" t="s">
        <v>60</v>
      </c>
      <c r="E7" s="76" t="s">
        <v>307</v>
      </c>
      <c r="F7" s="77" t="s">
        <v>9</v>
      </c>
      <c r="G7" s="144" t="s">
        <v>241</v>
      </c>
      <c r="H7" s="144" t="s">
        <v>255</v>
      </c>
      <c r="I7" s="77">
        <v>6</v>
      </c>
      <c r="J7" s="76" t="s">
        <v>308</v>
      </c>
    </row>
    <row r="8" spans="1:10" ht="79.2" customHeight="1" x14ac:dyDescent="0.3">
      <c r="A8" s="115"/>
      <c r="B8" s="118"/>
      <c r="C8" s="94" t="s">
        <v>70</v>
      </c>
      <c r="D8" s="94" t="s">
        <v>62</v>
      </c>
      <c r="E8" s="76" t="s">
        <v>218</v>
      </c>
      <c r="F8" s="77" t="s">
        <v>9</v>
      </c>
      <c r="G8" s="115"/>
      <c r="H8" s="115"/>
      <c r="I8" s="77">
        <v>5</v>
      </c>
      <c r="J8" s="76" t="s">
        <v>309</v>
      </c>
    </row>
    <row r="9" spans="1:10" ht="54.6" customHeight="1" x14ac:dyDescent="0.3">
      <c r="A9" s="144" t="s">
        <v>10</v>
      </c>
      <c r="B9" s="116" t="s">
        <v>310</v>
      </c>
      <c r="C9" s="94" t="s">
        <v>71</v>
      </c>
      <c r="D9" s="94" t="s">
        <v>25</v>
      </c>
      <c r="E9" s="76" t="s">
        <v>311</v>
      </c>
      <c r="F9" s="77" t="s">
        <v>9</v>
      </c>
      <c r="G9" s="144" t="s">
        <v>242</v>
      </c>
      <c r="H9" s="144" t="s">
        <v>256</v>
      </c>
      <c r="I9" s="77">
        <v>3</v>
      </c>
      <c r="J9" s="76" t="s">
        <v>268</v>
      </c>
    </row>
    <row r="10" spans="1:10" ht="58.8" customHeight="1" x14ac:dyDescent="0.3">
      <c r="A10" s="114"/>
      <c r="B10" s="117"/>
      <c r="C10" s="94" t="s">
        <v>71</v>
      </c>
      <c r="D10" s="94" t="s">
        <v>22</v>
      </c>
      <c r="E10" s="76" t="s">
        <v>312</v>
      </c>
      <c r="F10" s="77" t="s">
        <v>9</v>
      </c>
      <c r="G10" s="114"/>
      <c r="H10" s="114"/>
      <c r="I10" s="77">
        <v>5</v>
      </c>
      <c r="J10" s="76" t="s">
        <v>313</v>
      </c>
    </row>
    <row r="11" spans="1:10" ht="78.599999999999994" customHeight="1" x14ac:dyDescent="0.3">
      <c r="A11" s="115"/>
      <c r="B11" s="118"/>
      <c r="C11" s="94" t="s">
        <v>70</v>
      </c>
      <c r="D11" s="94" t="s">
        <v>63</v>
      </c>
      <c r="E11" s="76" t="s">
        <v>344</v>
      </c>
      <c r="F11" s="77" t="s">
        <v>9</v>
      </c>
      <c r="G11" s="115"/>
      <c r="H11" s="115"/>
      <c r="I11" s="77">
        <v>5</v>
      </c>
      <c r="J11" s="76" t="s">
        <v>346</v>
      </c>
    </row>
    <row r="12" spans="1:10" ht="110.4" customHeight="1" x14ac:dyDescent="0.3">
      <c r="A12" s="144" t="s">
        <v>28</v>
      </c>
      <c r="B12" s="116" t="s">
        <v>349</v>
      </c>
      <c r="C12" s="94" t="s">
        <v>70</v>
      </c>
      <c r="D12" s="94" t="s">
        <v>287</v>
      </c>
      <c r="E12" s="76" t="s">
        <v>358</v>
      </c>
      <c r="F12" s="77" t="s">
        <v>9</v>
      </c>
      <c r="G12" s="144" t="s">
        <v>243</v>
      </c>
      <c r="H12" s="144" t="s">
        <v>257</v>
      </c>
      <c r="I12" s="77">
        <v>5</v>
      </c>
      <c r="J12" s="76" t="s">
        <v>359</v>
      </c>
    </row>
    <row r="13" spans="1:10" ht="99.6" customHeight="1" x14ac:dyDescent="0.3">
      <c r="A13" s="114"/>
      <c r="B13" s="117"/>
      <c r="C13" s="94" t="s">
        <v>71</v>
      </c>
      <c r="D13" s="94" t="s">
        <v>29</v>
      </c>
      <c r="E13" s="76" t="s">
        <v>347</v>
      </c>
      <c r="F13" s="77" t="s">
        <v>34</v>
      </c>
      <c r="G13" s="114"/>
      <c r="H13" s="114"/>
      <c r="I13" s="77">
        <v>3</v>
      </c>
      <c r="J13" s="76" t="s">
        <v>350</v>
      </c>
    </row>
    <row r="14" spans="1:10" ht="81" customHeight="1" x14ac:dyDescent="0.3">
      <c r="A14" s="115"/>
      <c r="B14" s="118"/>
      <c r="C14" s="94" t="s">
        <v>70</v>
      </c>
      <c r="D14" s="94" t="s">
        <v>58</v>
      </c>
      <c r="E14" s="76" t="s">
        <v>217</v>
      </c>
      <c r="F14" s="77" t="s">
        <v>9</v>
      </c>
      <c r="G14" s="115"/>
      <c r="H14" s="115"/>
      <c r="I14" s="77">
        <v>4</v>
      </c>
      <c r="J14" s="76" t="s">
        <v>314</v>
      </c>
    </row>
    <row r="15" spans="1:10" ht="90" customHeight="1" x14ac:dyDescent="0.3">
      <c r="A15" s="113" t="s">
        <v>42</v>
      </c>
      <c r="B15" s="116" t="s">
        <v>343</v>
      </c>
      <c r="C15" s="94" t="s">
        <v>70</v>
      </c>
      <c r="D15" s="94" t="s">
        <v>288</v>
      </c>
      <c r="E15" s="76" t="s">
        <v>315</v>
      </c>
      <c r="F15" s="77" t="s">
        <v>9</v>
      </c>
      <c r="G15" s="113" t="s">
        <v>244</v>
      </c>
      <c r="H15" s="113" t="s">
        <v>258</v>
      </c>
      <c r="I15" s="77">
        <v>6</v>
      </c>
      <c r="J15" s="76" t="s">
        <v>352</v>
      </c>
    </row>
    <row r="16" spans="1:10" ht="65.400000000000006" customHeight="1" x14ac:dyDescent="0.3">
      <c r="A16" s="114"/>
      <c r="B16" s="117"/>
      <c r="C16" s="94" t="s">
        <v>71</v>
      </c>
      <c r="D16" s="94" t="s">
        <v>38</v>
      </c>
      <c r="E16" s="76" t="s">
        <v>316</v>
      </c>
      <c r="F16" s="77" t="s">
        <v>34</v>
      </c>
      <c r="G16" s="114"/>
      <c r="H16" s="114"/>
      <c r="I16" s="77">
        <v>2</v>
      </c>
      <c r="J16" s="76" t="s">
        <v>317</v>
      </c>
    </row>
    <row r="17" spans="1:10" ht="70.8" customHeight="1" x14ac:dyDescent="0.3">
      <c r="A17" s="115"/>
      <c r="B17" s="118"/>
      <c r="C17" s="94" t="s">
        <v>71</v>
      </c>
      <c r="D17" s="94" t="s">
        <v>40</v>
      </c>
      <c r="E17" s="76" t="s">
        <v>318</v>
      </c>
      <c r="F17" s="77" t="s">
        <v>34</v>
      </c>
      <c r="G17" s="115"/>
      <c r="H17" s="115"/>
      <c r="I17" s="77">
        <v>4</v>
      </c>
      <c r="J17" s="76" t="s">
        <v>354</v>
      </c>
    </row>
    <row r="18" spans="1:10" ht="60.6" customHeight="1" x14ac:dyDescent="0.3">
      <c r="A18" s="110" t="s">
        <v>64</v>
      </c>
      <c r="B18" s="120" t="s">
        <v>319</v>
      </c>
      <c r="C18" s="94" t="s">
        <v>71</v>
      </c>
      <c r="D18" s="94" t="s">
        <v>14</v>
      </c>
      <c r="E18" s="76" t="s">
        <v>320</v>
      </c>
      <c r="F18" s="77" t="s">
        <v>9</v>
      </c>
      <c r="G18" s="123">
        <v>46161</v>
      </c>
      <c r="H18" s="110" t="s">
        <v>259</v>
      </c>
      <c r="I18" s="77">
        <v>4</v>
      </c>
      <c r="J18" s="76" t="s">
        <v>321</v>
      </c>
    </row>
    <row r="19" spans="1:10" ht="57" customHeight="1" x14ac:dyDescent="0.3">
      <c r="A19" s="111"/>
      <c r="B19" s="121"/>
      <c r="C19" s="94" t="s">
        <v>71</v>
      </c>
      <c r="D19" s="94" t="s">
        <v>17</v>
      </c>
      <c r="E19" s="76" t="s">
        <v>322</v>
      </c>
      <c r="F19" s="77" t="s">
        <v>9</v>
      </c>
      <c r="G19" s="124"/>
      <c r="H19" s="111"/>
      <c r="I19" s="77">
        <v>5</v>
      </c>
      <c r="J19" s="76" t="s">
        <v>323</v>
      </c>
    </row>
    <row r="20" spans="1:10" ht="55.8" customHeight="1" x14ac:dyDescent="0.3">
      <c r="A20" s="111"/>
      <c r="B20" s="121"/>
      <c r="C20" s="94" t="s">
        <v>71</v>
      </c>
      <c r="D20" s="94" t="s">
        <v>20</v>
      </c>
      <c r="E20" s="76" t="s">
        <v>324</v>
      </c>
      <c r="F20" s="77" t="s">
        <v>9</v>
      </c>
      <c r="G20" s="124"/>
      <c r="H20" s="111"/>
      <c r="I20" s="77">
        <v>2</v>
      </c>
      <c r="J20" s="76" t="s">
        <v>325</v>
      </c>
    </row>
    <row r="21" spans="1:10" ht="91.8" customHeight="1" x14ac:dyDescent="0.3">
      <c r="A21" s="112"/>
      <c r="B21" s="122"/>
      <c r="C21" s="94" t="s">
        <v>71</v>
      </c>
      <c r="D21" s="94" t="s">
        <v>35</v>
      </c>
      <c r="E21" s="76" t="s">
        <v>326</v>
      </c>
      <c r="F21" s="77" t="s">
        <v>9</v>
      </c>
      <c r="G21" s="125"/>
      <c r="H21" s="112"/>
      <c r="I21" s="77">
        <v>3</v>
      </c>
      <c r="J21" s="76" t="s">
        <v>270</v>
      </c>
    </row>
    <row r="22" spans="1:10" ht="93.6" customHeight="1" x14ac:dyDescent="0.3">
      <c r="A22" s="94" t="s">
        <v>235</v>
      </c>
      <c r="B22" s="76" t="s">
        <v>327</v>
      </c>
      <c r="C22" s="94" t="s">
        <v>70</v>
      </c>
      <c r="D22" s="94" t="s">
        <v>56</v>
      </c>
      <c r="E22" s="76" t="s">
        <v>360</v>
      </c>
      <c r="F22" s="77" t="s">
        <v>9</v>
      </c>
      <c r="G22" s="103">
        <v>46175</v>
      </c>
      <c r="H22" s="103">
        <v>46174</v>
      </c>
      <c r="I22" s="77">
        <v>11</v>
      </c>
      <c r="J22" s="76" t="s">
        <v>357</v>
      </c>
    </row>
    <row r="23" spans="1:10" ht="93.6" customHeight="1" x14ac:dyDescent="0.3">
      <c r="A23" s="86" t="s">
        <v>236</v>
      </c>
      <c r="B23" s="91" t="s">
        <v>328</v>
      </c>
      <c r="C23" s="86" t="s">
        <v>70</v>
      </c>
      <c r="D23" s="86" t="s">
        <v>57</v>
      </c>
      <c r="E23" s="91" t="s">
        <v>362</v>
      </c>
      <c r="F23" s="93" t="s">
        <v>9</v>
      </c>
      <c r="G23" s="98">
        <v>46175</v>
      </c>
      <c r="H23" s="98">
        <v>46181</v>
      </c>
      <c r="I23" s="93">
        <v>14</v>
      </c>
      <c r="J23" s="91" t="s">
        <v>361</v>
      </c>
    </row>
    <row r="24" spans="1:10" ht="80.400000000000006" customHeight="1" x14ac:dyDescent="0.3">
      <c r="A24" s="119" t="s">
        <v>237</v>
      </c>
      <c r="B24" s="104" t="s">
        <v>329</v>
      </c>
      <c r="C24" s="92" t="s">
        <v>70</v>
      </c>
      <c r="D24" s="92" t="s">
        <v>65</v>
      </c>
      <c r="E24" s="78" t="s">
        <v>301</v>
      </c>
      <c r="F24" s="79" t="s">
        <v>9</v>
      </c>
      <c r="G24" s="107">
        <v>46182</v>
      </c>
      <c r="H24" s="107">
        <v>46188</v>
      </c>
      <c r="I24" s="79">
        <v>5</v>
      </c>
      <c r="J24" s="78" t="s">
        <v>330</v>
      </c>
    </row>
    <row r="25" spans="1:10" ht="91.8" customHeight="1" x14ac:dyDescent="0.3">
      <c r="A25" s="108"/>
      <c r="B25" s="105"/>
      <c r="C25" s="92" t="s">
        <v>71</v>
      </c>
      <c r="D25" s="92" t="s">
        <v>32</v>
      </c>
      <c r="E25" s="78" t="s">
        <v>331</v>
      </c>
      <c r="F25" s="79" t="s">
        <v>34</v>
      </c>
      <c r="G25" s="108"/>
      <c r="H25" s="108"/>
      <c r="I25" s="79">
        <v>4</v>
      </c>
      <c r="J25" s="78" t="s">
        <v>332</v>
      </c>
    </row>
    <row r="26" spans="1:10" ht="78" customHeight="1" x14ac:dyDescent="0.3">
      <c r="A26" s="108"/>
      <c r="B26" s="105"/>
      <c r="C26" s="92" t="s">
        <v>71</v>
      </c>
      <c r="D26" s="92" t="s">
        <v>7</v>
      </c>
      <c r="E26" s="78" t="s">
        <v>333</v>
      </c>
      <c r="F26" s="79" t="s">
        <v>9</v>
      </c>
      <c r="G26" s="108"/>
      <c r="H26" s="108"/>
      <c r="I26" s="79">
        <v>8</v>
      </c>
      <c r="J26" s="78" t="s">
        <v>334</v>
      </c>
    </row>
    <row r="27" spans="1:10" ht="67.2" customHeight="1" x14ac:dyDescent="0.3">
      <c r="A27" s="109"/>
      <c r="B27" s="106"/>
      <c r="C27" s="92" t="s">
        <v>71</v>
      </c>
      <c r="D27" s="92" t="s">
        <v>11</v>
      </c>
      <c r="E27" s="78" t="s">
        <v>335</v>
      </c>
      <c r="F27" s="79" t="s">
        <v>9</v>
      </c>
      <c r="G27" s="109"/>
      <c r="H27" s="109"/>
      <c r="I27" s="79">
        <v>7</v>
      </c>
      <c r="J27" s="78" t="s">
        <v>336</v>
      </c>
    </row>
    <row r="28" spans="1:10" ht="60.6" customHeight="1" x14ac:dyDescent="0.3">
      <c r="A28" s="133" t="s">
        <v>238</v>
      </c>
      <c r="B28" s="136" t="s">
        <v>337</v>
      </c>
      <c r="C28" s="86" t="s">
        <v>70</v>
      </c>
      <c r="D28" s="86" t="s">
        <v>219</v>
      </c>
      <c r="E28" s="91" t="s">
        <v>220</v>
      </c>
      <c r="F28" s="93" t="s">
        <v>9</v>
      </c>
      <c r="G28" s="133" t="s">
        <v>247</v>
      </c>
      <c r="H28" s="133" t="s">
        <v>260</v>
      </c>
      <c r="I28" s="93">
        <v>4</v>
      </c>
      <c r="J28" s="91" t="s">
        <v>338</v>
      </c>
    </row>
    <row r="29" spans="1:10" ht="72.599999999999994" customHeight="1" x14ac:dyDescent="0.3">
      <c r="A29" s="134"/>
      <c r="B29" s="137"/>
      <c r="C29" s="86" t="s">
        <v>70</v>
      </c>
      <c r="D29" s="86" t="s">
        <v>221</v>
      </c>
      <c r="E29" s="91" t="s">
        <v>222</v>
      </c>
      <c r="F29" s="93" t="s">
        <v>9</v>
      </c>
      <c r="G29" s="134"/>
      <c r="H29" s="134"/>
      <c r="I29" s="93">
        <v>2</v>
      </c>
      <c r="J29" s="91" t="s">
        <v>339</v>
      </c>
    </row>
    <row r="30" spans="1:10" ht="49.2" customHeight="1" x14ac:dyDescent="0.3">
      <c r="A30" s="134"/>
      <c r="B30" s="137"/>
      <c r="C30" s="86" t="s">
        <v>70</v>
      </c>
      <c r="D30" s="86" t="s">
        <v>223</v>
      </c>
      <c r="E30" s="91" t="s">
        <v>224</v>
      </c>
      <c r="F30" s="93" t="s">
        <v>9</v>
      </c>
      <c r="G30" s="134"/>
      <c r="H30" s="134"/>
      <c r="I30" s="93">
        <v>3</v>
      </c>
      <c r="J30" s="91" t="s">
        <v>340</v>
      </c>
    </row>
    <row r="31" spans="1:10" ht="63" customHeight="1" x14ac:dyDescent="0.3">
      <c r="A31" s="135"/>
      <c r="B31" s="138"/>
      <c r="C31" s="86" t="s">
        <v>70</v>
      </c>
      <c r="D31" s="86" t="s">
        <v>225</v>
      </c>
      <c r="E31" s="91" t="s">
        <v>341</v>
      </c>
      <c r="F31" s="93" t="s">
        <v>34</v>
      </c>
      <c r="G31" s="135"/>
      <c r="H31" s="135"/>
      <c r="I31" s="93">
        <v>2</v>
      </c>
      <c r="J31" s="91" t="s">
        <v>342</v>
      </c>
    </row>
    <row r="32" spans="1:10" ht="28.8" customHeight="1" x14ac:dyDescent="0.3">
      <c r="A32" s="139" t="s">
        <v>356</v>
      </c>
      <c r="B32" s="140"/>
      <c r="C32" s="140"/>
      <c r="D32" s="140"/>
      <c r="E32" s="140"/>
      <c r="F32" s="140"/>
      <c r="G32" s="140"/>
      <c r="H32" s="141"/>
      <c r="I32" s="100">
        <f>SUM(I3:I31)</f>
        <v>142</v>
      </c>
      <c r="J32" s="101"/>
    </row>
    <row r="33" spans="1:10" ht="55.8" customHeight="1" x14ac:dyDescent="0.3">
      <c r="A33" s="73"/>
      <c r="B33" s="73"/>
      <c r="C33" s="73"/>
      <c r="D33" s="73"/>
    </row>
    <row r="34" spans="1:10" ht="30.6" customHeight="1" x14ac:dyDescent="0.3">
      <c r="A34" s="132" t="s">
        <v>272</v>
      </c>
      <c r="B34" s="132"/>
      <c r="C34" s="132"/>
      <c r="D34" s="132"/>
      <c r="E34" s="132"/>
      <c r="F34" s="132"/>
      <c r="G34" s="132"/>
      <c r="H34" s="132"/>
      <c r="I34" s="132"/>
      <c r="J34" s="132"/>
    </row>
    <row r="35" spans="1:10" ht="45.6" customHeight="1" x14ac:dyDescent="0.3">
      <c r="A35" s="142" t="s">
        <v>69</v>
      </c>
      <c r="B35" s="142"/>
      <c r="C35" s="142"/>
      <c r="D35" s="142" t="s">
        <v>273</v>
      </c>
      <c r="E35" s="130"/>
      <c r="F35" s="130"/>
      <c r="G35" s="142" t="s">
        <v>274</v>
      </c>
      <c r="H35" s="130"/>
      <c r="I35" s="130"/>
      <c r="J35" s="130"/>
    </row>
    <row r="36" spans="1:10" ht="37.799999999999997" customHeight="1" x14ac:dyDescent="0.3">
      <c r="A36" s="126" t="s">
        <v>275</v>
      </c>
      <c r="B36" s="127"/>
      <c r="C36" s="128"/>
      <c r="D36" s="129" t="s">
        <v>276</v>
      </c>
      <c r="E36" s="130"/>
      <c r="F36" s="130"/>
      <c r="G36" s="131" t="s">
        <v>277</v>
      </c>
      <c r="H36" s="130"/>
      <c r="I36" s="130"/>
      <c r="J36" s="130"/>
    </row>
    <row r="37" spans="1:10" ht="38.4" customHeight="1" x14ac:dyDescent="0.3">
      <c r="A37" s="73"/>
      <c r="B37" s="73"/>
      <c r="C37" s="73"/>
      <c r="D37" s="73"/>
    </row>
    <row r="38" spans="1:10" ht="42.6" customHeight="1" x14ac:dyDescent="0.3">
      <c r="A38" s="73"/>
      <c r="B38" s="73"/>
      <c r="C38" s="73"/>
      <c r="D38" s="73"/>
    </row>
    <row r="39" spans="1:10" ht="49.2" customHeight="1" x14ac:dyDescent="0.3">
      <c r="A39" s="73"/>
      <c r="B39" s="73"/>
      <c r="C39" s="73"/>
      <c r="D39" s="73"/>
    </row>
    <row r="40" spans="1:10" ht="39.6" customHeight="1" x14ac:dyDescent="0.3">
      <c r="A40" s="73"/>
      <c r="B40" s="73"/>
      <c r="C40" s="73"/>
      <c r="D40" s="73"/>
    </row>
    <row r="41" spans="1:10" ht="46.8" customHeight="1" x14ac:dyDescent="0.3">
      <c r="A41" s="73"/>
      <c r="B41" s="73"/>
      <c r="C41" s="73"/>
      <c r="D41" s="73"/>
    </row>
    <row r="42" spans="1:10" ht="48" customHeight="1" x14ac:dyDescent="0.3">
      <c r="A42" s="73"/>
      <c r="B42" s="73"/>
      <c r="C42" s="73"/>
      <c r="D42" s="73"/>
    </row>
    <row r="43" spans="1:10" ht="50.4" customHeight="1" x14ac:dyDescent="0.3">
      <c r="A43" s="73"/>
      <c r="B43" s="73"/>
      <c r="C43" s="73"/>
      <c r="D43" s="73"/>
    </row>
    <row r="44" spans="1:10" ht="39.6" customHeight="1" x14ac:dyDescent="0.3"/>
    <row r="45" spans="1:10" ht="33.6" customHeight="1" x14ac:dyDescent="0.3"/>
    <row r="46" spans="1:10" ht="14.4" customHeight="1" x14ac:dyDescent="0.3"/>
    <row r="48" spans="1:10" ht="27" customHeight="1" x14ac:dyDescent="0.3"/>
    <row r="49" ht="61.8" customHeight="1" x14ac:dyDescent="0.3"/>
  </sheetData>
  <mergeCells count="45">
    <mergeCell ref="H12:H14"/>
    <mergeCell ref="A12:A14"/>
    <mergeCell ref="B12:B14"/>
    <mergeCell ref="G12:G14"/>
    <mergeCell ref="G15:G17"/>
    <mergeCell ref="A7:A8"/>
    <mergeCell ref="B7:B8"/>
    <mergeCell ref="G7:G8"/>
    <mergeCell ref="H7:H8"/>
    <mergeCell ref="A9:A11"/>
    <mergeCell ref="B9:B11"/>
    <mergeCell ref="G9:G11"/>
    <mergeCell ref="H9:H11"/>
    <mergeCell ref="A1:J1"/>
    <mergeCell ref="A5:A6"/>
    <mergeCell ref="B5:B6"/>
    <mergeCell ref="A3:A4"/>
    <mergeCell ref="B3:B4"/>
    <mergeCell ref="G5:G6"/>
    <mergeCell ref="H5:H6"/>
    <mergeCell ref="G3:G4"/>
    <mergeCell ref="H3:H4"/>
    <mergeCell ref="A36:C36"/>
    <mergeCell ref="D36:F36"/>
    <mergeCell ref="G36:J36"/>
    <mergeCell ref="A34:J34"/>
    <mergeCell ref="A28:A31"/>
    <mergeCell ref="B28:B31"/>
    <mergeCell ref="G28:G31"/>
    <mergeCell ref="H28:H31"/>
    <mergeCell ref="A32:H32"/>
    <mergeCell ref="A35:C35"/>
    <mergeCell ref="D35:F35"/>
    <mergeCell ref="G35:J35"/>
    <mergeCell ref="B24:B27"/>
    <mergeCell ref="G24:G27"/>
    <mergeCell ref="H24:H27"/>
    <mergeCell ref="A18:A21"/>
    <mergeCell ref="H15:H17"/>
    <mergeCell ref="A15:A17"/>
    <mergeCell ref="B15:B17"/>
    <mergeCell ref="A24:A27"/>
    <mergeCell ref="B18:B21"/>
    <mergeCell ref="G18:G21"/>
    <mergeCell ref="H18: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Introducción</vt:lpstr>
      <vt:lpstr>Historias de Usuario</vt:lpstr>
      <vt:lpstr>Historias Técnicas</vt:lpstr>
      <vt:lpstr>Product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RUMI ADRIAN GREFA RIVADENEYRA</dc:creator>
  <cp:lastModifiedBy>RUMI ADRIAN GREFA RIVADENEYRA</cp:lastModifiedBy>
  <dcterms:created xsi:type="dcterms:W3CDTF">2026-04-07T01:09:47Z</dcterms:created>
  <dcterms:modified xsi:type="dcterms:W3CDTF">2026-06-09T05:38:39Z</dcterms:modified>
</cp:coreProperties>
</file>